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/>
  </mc:AlternateContent>
  <xr:revisionPtr revIDLastSave="0" documentId="13_ncr:1_{56117B7E-C24D-498B-8929-ED4FFC42DA4B}" xr6:coauthVersionLast="47" xr6:coauthVersionMax="47" xr10:uidLastSave="{00000000-0000-0000-0000-000000000000}"/>
  <bookViews>
    <workbookView xWindow="-120" yWindow="-120" windowWidth="38640" windowHeight="21840" tabRatio="500" xr2:uid="{00000000-000D-0000-FFFF-FFFF00000000}"/>
  </bookViews>
  <sheets>
    <sheet name="Personal Budget" sheetId="1" r:id="rId1"/>
  </sheets>
  <externalReferences>
    <externalReference r:id="rId2"/>
  </externalReferences>
  <definedNames>
    <definedName name="_xlnm.Print_Area" localSheetId="0">'Personal Budget'!$A$2:$O$92</definedName>
    <definedName name="Type">'[1]Maintenance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0" i="1" l="1"/>
  <c r="J74" i="1"/>
  <c r="J26" i="1"/>
  <c r="J90" i="1"/>
  <c r="I73" i="1" l="1"/>
  <c r="J73" i="1"/>
  <c r="J58" i="1"/>
  <c r="I74" i="1"/>
  <c r="I75" i="1"/>
  <c r="I24" i="1"/>
  <c r="I26" i="1"/>
  <c r="I82" i="1"/>
  <c r="I89" i="1"/>
  <c r="H89" i="1"/>
  <c r="I70" i="1"/>
  <c r="O27" i="1"/>
  <c r="I54" i="1"/>
  <c r="I59" i="1" s="1"/>
  <c r="I30" i="1"/>
  <c r="I78" i="1"/>
  <c r="H74" i="1"/>
  <c r="H28" i="1"/>
  <c r="H21" i="1"/>
  <c r="H75" i="1"/>
  <c r="H26" i="1"/>
  <c r="H30" i="1" s="1"/>
  <c r="H77" i="1"/>
  <c r="G25" i="1"/>
  <c r="O25" i="1" s="1"/>
  <c r="H76" i="1"/>
  <c r="H78" i="1" s="1"/>
  <c r="H70" i="1"/>
  <c r="H83" i="1"/>
  <c r="H82" i="1"/>
  <c r="G26" i="1"/>
  <c r="G28" i="1"/>
  <c r="G75" i="1"/>
  <c r="G74" i="1"/>
  <c r="G73" i="1"/>
  <c r="G78" i="1" s="1"/>
  <c r="F95" i="1"/>
  <c r="F83" i="1"/>
  <c r="F73" i="1"/>
  <c r="F78" i="1" s="1"/>
  <c r="F86" i="1"/>
  <c r="F26" i="1"/>
  <c r="F74" i="1"/>
  <c r="F28" i="1"/>
  <c r="N91" i="1"/>
  <c r="M91" i="1"/>
  <c r="L91" i="1"/>
  <c r="K91" i="1"/>
  <c r="J91" i="1"/>
  <c r="I91" i="1"/>
  <c r="H91" i="1"/>
  <c r="G91" i="1"/>
  <c r="F91" i="1"/>
  <c r="E91" i="1"/>
  <c r="C91" i="1"/>
  <c r="O90" i="1"/>
  <c r="D89" i="1"/>
  <c r="O89" i="1" s="1"/>
  <c r="O88" i="1"/>
  <c r="N86" i="1"/>
  <c r="M86" i="1"/>
  <c r="L86" i="1"/>
  <c r="K86" i="1"/>
  <c r="J86" i="1"/>
  <c r="I86" i="1"/>
  <c r="H86" i="1"/>
  <c r="G86" i="1"/>
  <c r="O85" i="1"/>
  <c r="C84" i="1"/>
  <c r="O84" i="1" s="1"/>
  <c r="E83" i="1"/>
  <c r="E86" i="1" s="1"/>
  <c r="D83" i="1"/>
  <c r="D86" i="1" s="1"/>
  <c r="C83" i="1"/>
  <c r="C86" i="1" s="1"/>
  <c r="O82" i="1"/>
  <c r="O81" i="1"/>
  <c r="O80" i="1"/>
  <c r="N78" i="1"/>
  <c r="M78" i="1"/>
  <c r="L78" i="1"/>
  <c r="K78" i="1"/>
  <c r="J78" i="1"/>
  <c r="E77" i="1"/>
  <c r="C77" i="1"/>
  <c r="C75" i="1"/>
  <c r="O75" i="1" s="1"/>
  <c r="E74" i="1"/>
  <c r="C74" i="1"/>
  <c r="D73" i="1"/>
  <c r="N71" i="1"/>
  <c r="M71" i="1"/>
  <c r="L71" i="1"/>
  <c r="K71" i="1"/>
  <c r="J71" i="1"/>
  <c r="I71" i="1"/>
  <c r="H71" i="1"/>
  <c r="G71" i="1"/>
  <c r="F71" i="1"/>
  <c r="D71" i="1"/>
  <c r="C71" i="1"/>
  <c r="E70" i="1"/>
  <c r="E71" i="1" s="1"/>
  <c r="C70" i="1"/>
  <c r="O69" i="1"/>
  <c r="O68" i="1"/>
  <c r="N66" i="1"/>
  <c r="M66" i="1"/>
  <c r="L66" i="1"/>
  <c r="K66" i="1"/>
  <c r="J66" i="1"/>
  <c r="I66" i="1"/>
  <c r="H66" i="1"/>
  <c r="G66" i="1"/>
  <c r="F66" i="1"/>
  <c r="E66" i="1"/>
  <c r="D66" i="1"/>
  <c r="C66" i="1"/>
  <c r="O65" i="1"/>
  <c r="O64" i="1"/>
  <c r="O63" i="1"/>
  <c r="O62" i="1"/>
  <c r="O61" i="1"/>
  <c r="N59" i="1"/>
  <c r="M59" i="1"/>
  <c r="L59" i="1"/>
  <c r="K59" i="1"/>
  <c r="J59" i="1"/>
  <c r="H59" i="1"/>
  <c r="G59" i="1"/>
  <c r="F59" i="1"/>
  <c r="D59" i="1"/>
  <c r="C59" i="1"/>
  <c r="O58" i="1"/>
  <c r="O57" i="1"/>
  <c r="O56" i="1"/>
  <c r="O55" i="1"/>
  <c r="E54" i="1"/>
  <c r="O54" i="1" s="1"/>
  <c r="O53" i="1"/>
  <c r="N51" i="1"/>
  <c r="M51" i="1"/>
  <c r="L51" i="1"/>
  <c r="K51" i="1"/>
  <c r="J51" i="1"/>
  <c r="I51" i="1"/>
  <c r="H51" i="1"/>
  <c r="G51" i="1"/>
  <c r="F51" i="1"/>
  <c r="E51" i="1"/>
  <c r="D51" i="1"/>
  <c r="C51" i="1"/>
  <c r="O50" i="1"/>
  <c r="O49" i="1"/>
  <c r="O48" i="1"/>
  <c r="O47" i="1"/>
  <c r="O46" i="1"/>
  <c r="O45" i="1"/>
  <c r="N41" i="1"/>
  <c r="M41" i="1"/>
  <c r="L41" i="1"/>
  <c r="K41" i="1"/>
  <c r="J41" i="1"/>
  <c r="I41" i="1"/>
  <c r="H41" i="1"/>
  <c r="G41" i="1"/>
  <c r="F41" i="1"/>
  <c r="C41" i="1"/>
  <c r="O39" i="1"/>
  <c r="O38" i="1"/>
  <c r="O37" i="1"/>
  <c r="O36" i="1"/>
  <c r="O35" i="1"/>
  <c r="E34" i="1"/>
  <c r="E41" i="1" s="1"/>
  <c r="D34" i="1"/>
  <c r="D41" i="1" s="1"/>
  <c r="N30" i="1"/>
  <c r="M30" i="1"/>
  <c r="L30" i="1"/>
  <c r="K30" i="1"/>
  <c r="J30" i="1"/>
  <c r="F30" i="1"/>
  <c r="E28" i="1"/>
  <c r="D28" i="1"/>
  <c r="D30" i="1" s="1"/>
  <c r="C28" i="1"/>
  <c r="E26" i="1"/>
  <c r="C26" i="1"/>
  <c r="O24" i="1"/>
  <c r="O23" i="1"/>
  <c r="O22" i="1"/>
  <c r="O21" i="1"/>
  <c r="E30" i="1" l="1"/>
  <c r="O76" i="1"/>
  <c r="G30" i="1"/>
  <c r="D91" i="1"/>
  <c r="O74" i="1"/>
  <c r="O73" i="1"/>
  <c r="E78" i="1"/>
  <c r="C78" i="1"/>
  <c r="O28" i="1"/>
  <c r="O34" i="1"/>
  <c r="O59" i="1"/>
  <c r="H92" i="1"/>
  <c r="G92" i="1"/>
  <c r="G95" i="1" s="1"/>
  <c r="O83" i="1"/>
  <c r="O86" i="1" s="1"/>
  <c r="I92" i="1"/>
  <c r="J92" i="1"/>
  <c r="J95" i="1" s="1"/>
  <c r="O91" i="1"/>
  <c r="K92" i="1"/>
  <c r="C30" i="1"/>
  <c r="O51" i="1"/>
  <c r="O66" i="1"/>
  <c r="L92" i="1"/>
  <c r="M92" i="1"/>
  <c r="F92" i="1"/>
  <c r="O26" i="1"/>
  <c r="E59" i="1"/>
  <c r="E92" i="1" s="1"/>
  <c r="N92" i="1"/>
  <c r="C92" i="1"/>
  <c r="O41" i="1"/>
  <c r="H5" i="1" s="1"/>
  <c r="O70" i="1"/>
  <c r="O71" i="1" s="1"/>
  <c r="O77" i="1"/>
  <c r="D78" i="1"/>
  <c r="D92" i="1" s="1"/>
  <c r="O30" i="1" l="1"/>
  <c r="H4" i="1" s="1"/>
  <c r="H95" i="1"/>
  <c r="I95" i="1" s="1"/>
  <c r="O78" i="1"/>
  <c r="O92" i="1" s="1"/>
  <c r="K95" i="1" l="1"/>
  <c r="L95" i="1" s="1"/>
  <c r="M95" i="1" s="1"/>
  <c r="N95" i="1" s="1"/>
  <c r="O95" i="1" s="1"/>
  <c r="H8" i="1"/>
  <c r="H6" i="1"/>
</calcChain>
</file>

<file path=xl/sharedStrings.xml><?xml version="1.0" encoding="utf-8"?>
<sst xmlns="http://schemas.openxmlformats.org/spreadsheetml/2006/main" count="87" uniqueCount="72">
  <si>
    <t>Personal Budget</t>
  </si>
  <si>
    <t>Yearly Summary</t>
  </si>
  <si>
    <t>Income</t>
  </si>
  <si>
    <t>Savings</t>
  </si>
  <si>
    <t>Expenses</t>
  </si>
  <si>
    <t>Potential to Save</t>
  </si>
  <si>
    <t xml:space="preserve">Enter Income, Savings, and Expense Data, below.  Overview information above will generate automatically. 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</si>
  <si>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</si>
  <si>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</si>
  <si>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</si>
  <si>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</si>
  <si>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</si>
  <si>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</si>
  <si>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</si>
  <si>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</si>
  <si>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</si>
  <si>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</si>
  <si>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</si>
  <si>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</si>
  <si>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Annually</t>
  </si>
  <si>
    <t>Salário</t>
  </si>
  <si>
    <t>Sub. Alimentação</t>
  </si>
  <si>
    <t>IRS</t>
  </si>
  <si>
    <t>Seg. Social</t>
  </si>
  <si>
    <t>CoverFlex</t>
  </si>
  <si>
    <t>Other</t>
  </si>
  <si>
    <t>Monthly Totals</t>
  </si>
  <si>
    <t>Savings and Investments</t>
  </si>
  <si>
    <t>Emergency Fund</t>
  </si>
  <si>
    <t>Retirement Savings</t>
  </si>
  <si>
    <t>College Savings</t>
  </si>
  <si>
    <t>Vacation Savings</t>
  </si>
  <si>
    <t>Home</t>
  </si>
  <si>
    <t>Mortgage / Rent</t>
  </si>
  <si>
    <t>Home Insurance</t>
  </si>
  <si>
    <t>Property Taxes</t>
  </si>
  <si>
    <t>Home Maintenance and Repairs</t>
  </si>
  <si>
    <t>Utilities (electric, gas, water, etc.)</t>
  </si>
  <si>
    <t>Internet and Streaming Services</t>
  </si>
  <si>
    <t>Transportation</t>
  </si>
  <si>
    <t>Car Payments</t>
  </si>
  <si>
    <t>Fuel / Gasoline</t>
  </si>
  <si>
    <t>Auto Insurance</t>
  </si>
  <si>
    <t>Public Transportation / Rideshare</t>
  </si>
  <si>
    <t>Auto Maintenance and Repairs</t>
  </si>
  <si>
    <t>Health</t>
  </si>
  <si>
    <t>Health Insurance</t>
  </si>
  <si>
    <t>Fisiotherapy</t>
  </si>
  <si>
    <t>Dental / Vision</t>
  </si>
  <si>
    <t>Prescriptions</t>
  </si>
  <si>
    <t>Daily Living</t>
  </si>
  <si>
    <t>Groceries</t>
  </si>
  <si>
    <t>Household Supplies</t>
  </si>
  <si>
    <t>Clothing and Shoes</t>
  </si>
  <si>
    <t>Entertainment and Recreation</t>
  </si>
  <si>
    <t>Dining Out</t>
  </si>
  <si>
    <t>Entertainment and Subscriptions</t>
  </si>
  <si>
    <t>Hobbies and Recreation</t>
  </si>
  <si>
    <t>Travel / Vacation</t>
  </si>
  <si>
    <t>Games</t>
  </si>
  <si>
    <t>Personal and Family</t>
  </si>
  <si>
    <t>Gym</t>
  </si>
  <si>
    <t>Gifts and Celebrations</t>
  </si>
  <si>
    <t>Depilação / Cabelo</t>
  </si>
  <si>
    <t>Tecnology</t>
  </si>
  <si>
    <t>Temu</t>
  </si>
  <si>
    <t>Dept Payments (loans, credit cards)</t>
  </si>
  <si>
    <t>Miscellaneous Expenses</t>
  </si>
  <si>
    <t>Monthly remaining</t>
  </si>
  <si>
    <t>-</t>
  </si>
  <si>
    <t>Real Vida</t>
  </si>
  <si>
    <t>Duodécimos / Subsídios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</si>
</sst>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_(&quot;$&quot;* #,##0.00_);_(&quot;$&quot;* \(#,##0.00\);_(&quot;$&quot;* &quot;-&quot;??_);_(@_)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entury Gothic"/>
      <family val="1"/>
    </font>
    <font>
      <sz val="11"/>
      <color theme="1"/>
      <name val="Century Gothic"/>
      <family val="1"/>
    </font>
    <font>
      <sz val="8"/>
      <name val="Calibri"/>
      <family val="2"/>
      <scheme val="minor"/>
    </font>
    <font>
      <sz val="9"/>
      <color theme="1"/>
      <name val="Century Gothic"/>
      <family val="1"/>
    </font>
    <font>
      <sz val="9"/>
      <color theme="0"/>
      <name val="Century Gothic"/>
      <family val="1"/>
    </font>
    <font>
      <b/>
      <sz val="9"/>
      <color theme="1"/>
      <name val="Century Gothic"/>
      <family val="1"/>
    </font>
    <font>
      <sz val="9"/>
      <color rgb="FF000000"/>
      <name val="Century Gothic"/>
      <family val="1"/>
    </font>
    <font>
      <b/>
      <sz val="11"/>
      <color theme="0"/>
      <name val="Century Gothic"/>
      <family val="1"/>
    </font>
    <font>
      <b/>
      <sz val="22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b/>
      <sz val="22"/>
      <color theme="1" tint="0.34998626667073579"/>
      <name val="Century Gothic"/>
      <family val="1"/>
    </font>
    <font>
      <b/>
      <sz val="9"/>
      <color theme="0"/>
      <name val="Century Gothic"/>
      <family val="1"/>
    </font>
    <font>
      <sz val="20"/>
      <color theme="1" tint="0.34998626667073579"/>
      <name val="Century Gothic"/>
      <family val="1"/>
    </font>
    <font>
      <b/>
      <sz val="11"/>
      <color theme="0"/>
      <name val="Century Gothic"/>
      <family val="2"/>
    </font>
    <font>
      <sz val="10"/>
      <color theme="1" tint="0.34998626667073579"/>
      <name val="Century Gothic"/>
      <family val="1"/>
    </font>
    <font>
      <sz val="12"/>
      <color theme="1" tint="0.34998626667073579"/>
      <name val="Century Gothic"/>
      <family val="1"/>
    </font>
    <font>
      <i/>
      <sz val="12"/>
      <color theme="1" tint="0.34998626667073579"/>
      <name val="Century Gothic"/>
      <family val="2"/>
    </font>
    <font>
      <sz val="10"/>
      <color rgb="FF000000"/>
      <name val="Century Gothic"/>
      <family val="2"/>
    </font>
    <font>
      <sz val="14"/>
      <color theme="0"/>
      <name val="Century Gothic"/>
      <family val="1"/>
    </font>
    <font>
      <b/>
      <sz val="9"/>
      <color theme="1"/>
      <name val="Century Gothic"/>
      <family val="2"/>
    </font>
    <font>
      <sz val="11"/>
      <color theme="1"/>
      <name val="Century Gothic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EAEEF3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8E9F1"/>
        <bgColor rgb="FFD8E9F1"/>
      </patternFill>
    </fill>
    <fill>
      <patternFill patternType="solid">
        <fgColor rgb="FFD8E9F1"/>
        <bgColor indexed="64"/>
      </patternFill>
    </fill>
    <fill>
      <patternFill patternType="solid">
        <fgColor rgb="FFEAEEF3"/>
        <bgColor rgb="FFF0F4CE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8E9F1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/>
    <xf numFmtId="165" fontId="1" fillId="0" borderId="0"/>
    <xf numFmtId="0" fontId="2" fillId="0" borderId="0"/>
    <xf numFmtId="0" fontId="3" fillId="0" borderId="0"/>
    <xf numFmtId="0" fontId="13" fillId="0" borderId="0"/>
  </cellStyleXfs>
  <cellXfs count="79">
    <xf numFmtId="0" fontId="0" fillId="0" borderId="0" xfId="0"/>
    <xf numFmtId="0" fontId="0" fillId="2" borderId="0" xfId="0" applyFill="1"/>
    <xf numFmtId="0" fontId="4" fillId="0" borderId="0" xfId="0" applyFont="1"/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14" fillId="2" borderId="0" xfId="0" applyFont="1" applyFill="1" applyAlignment="1">
      <alignment vertical="center"/>
    </xf>
    <xf numFmtId="0" fontId="9" fillId="10" borderId="0" xfId="0" applyFont="1" applyFill="1" applyAlignment="1">
      <alignment horizontal="left" vertical="center" indent="1"/>
    </xf>
    <xf numFmtId="0" fontId="7" fillId="10" borderId="0" xfId="0" applyFont="1" applyFill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20" fillId="0" borderId="0" xfId="0" applyFont="1" applyAlignment="1">
      <alignment vertical="center"/>
    </xf>
    <xf numFmtId="0" fontId="21" fillId="15" borderId="0" xfId="0" applyFont="1" applyFill="1" applyAlignment="1">
      <alignment horizontal="left" vertical="center" wrapText="1" indent="1"/>
    </xf>
    <xf numFmtId="0" fontId="7" fillId="16" borderId="0" xfId="0" applyFont="1" applyFill="1" applyAlignment="1">
      <alignment horizontal="left" vertical="center" indent="1"/>
    </xf>
    <xf numFmtId="0" fontId="7" fillId="16" borderId="0" xfId="0" applyFont="1" applyFill="1" applyAlignment="1">
      <alignment vertical="center"/>
    </xf>
    <xf numFmtId="0" fontId="22" fillId="9" borderId="0" xfId="0" applyFont="1" applyFill="1" applyAlignment="1">
      <alignment horizontal="left" vertical="center" indent="1"/>
    </xf>
    <xf numFmtId="0" fontId="23" fillId="16" borderId="0" xfId="0" applyFont="1" applyFill="1" applyAlignment="1">
      <alignment horizontal="center" vertical="center"/>
    </xf>
    <xf numFmtId="0" fontId="21" fillId="17" borderId="0" xfId="0" applyFont="1" applyFill="1" applyAlignment="1">
      <alignment horizontal="left" vertical="center" wrapText="1" indent="1"/>
    </xf>
    <xf numFmtId="0" fontId="22" fillId="18" borderId="0" xfId="0" applyFont="1" applyFill="1" applyAlignment="1">
      <alignment horizontal="left" vertical="center" indent="1"/>
    </xf>
    <xf numFmtId="0" fontId="8" fillId="18" borderId="0" xfId="0" applyFont="1" applyFill="1" applyAlignment="1">
      <alignment horizontal="left" vertical="center"/>
    </xf>
    <xf numFmtId="0" fontId="21" fillId="17" borderId="0" xfId="0" applyFont="1" applyFill="1" applyAlignment="1">
      <alignment horizontal="left" indent="1"/>
    </xf>
    <xf numFmtId="0" fontId="15" fillId="18" borderId="0" xfId="0" applyFont="1" applyFill="1" applyAlignment="1">
      <alignment horizontal="left" vertical="center" indent="1"/>
    </xf>
    <xf numFmtId="0" fontId="15" fillId="9" borderId="0" xfId="0" applyFont="1" applyFill="1" applyAlignment="1">
      <alignment horizontal="left" vertical="center" indent="1"/>
    </xf>
    <xf numFmtId="0" fontId="19" fillId="14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0" fontId="22" fillId="19" borderId="0" xfId="0" applyFont="1" applyFill="1" applyAlignment="1">
      <alignment horizontal="left" vertical="center" indent="1"/>
    </xf>
    <xf numFmtId="0" fontId="8" fillId="19" borderId="0" xfId="0" applyFont="1" applyFill="1" applyAlignment="1">
      <alignment horizontal="left" vertical="center"/>
    </xf>
    <xf numFmtId="0" fontId="7" fillId="20" borderId="0" xfId="0" applyFont="1" applyFill="1" applyAlignment="1">
      <alignment horizontal="left" vertical="center" indent="1"/>
    </xf>
    <xf numFmtId="0" fontId="21" fillId="21" borderId="0" xfId="0" applyFont="1" applyFill="1" applyAlignment="1">
      <alignment horizontal="left" vertical="center" wrapText="1" indent="1"/>
    </xf>
    <xf numFmtId="0" fontId="7" fillId="20" borderId="0" xfId="0" applyFont="1" applyFill="1" applyAlignment="1">
      <alignment vertical="center"/>
    </xf>
    <xf numFmtId="0" fontId="15" fillId="19" borderId="0" xfId="0" applyFont="1" applyFill="1" applyAlignment="1">
      <alignment horizontal="left" vertical="center" indent="1"/>
    </xf>
    <xf numFmtId="0" fontId="15" fillId="2" borderId="0" xfId="0" applyFont="1" applyFill="1" applyAlignment="1">
      <alignment horizontal="left" vertical="center" indent="1"/>
    </xf>
    <xf numFmtId="0" fontId="15" fillId="23" borderId="0" xfId="0" applyFont="1" applyFill="1" applyAlignment="1">
      <alignment horizontal="left" vertical="center" indent="1"/>
    </xf>
    <xf numFmtId="164" fontId="7" fillId="2" borderId="1" xfId="0" applyNumberFormat="1" applyFont="1" applyFill="1" applyBorder="1" applyAlignment="1">
      <alignment horizontal="center" vertical="center"/>
    </xf>
    <xf numFmtId="164" fontId="7" fillId="4" borderId="0" xfId="0" applyNumberFormat="1" applyFont="1" applyFill="1" applyAlignment="1">
      <alignment vertical="center"/>
    </xf>
    <xf numFmtId="164" fontId="7" fillId="16" borderId="0" xfId="0" applyNumberFormat="1" applyFont="1" applyFill="1" applyAlignment="1">
      <alignment vertical="center"/>
    </xf>
    <xf numFmtId="164" fontId="15" fillId="18" borderId="0" xfId="1" applyNumberFormat="1" applyFont="1" applyFill="1" applyAlignment="1">
      <alignment vertical="center"/>
    </xf>
    <xf numFmtId="164" fontId="15" fillId="18" borderId="0" xfId="0" applyNumberFormat="1" applyFont="1" applyFill="1" applyAlignment="1">
      <alignment vertical="center"/>
    </xf>
    <xf numFmtId="164" fontId="7" fillId="0" borderId="0" xfId="0" applyNumberFormat="1" applyFont="1" applyAlignment="1">
      <alignment vertical="center"/>
    </xf>
    <xf numFmtId="164" fontId="8" fillId="19" borderId="0" xfId="0" applyNumberFormat="1" applyFont="1" applyFill="1" applyAlignment="1">
      <alignment horizontal="left" vertical="center"/>
    </xf>
    <xf numFmtId="164" fontId="23" fillId="20" borderId="0" xfId="0" applyNumberFormat="1" applyFont="1" applyFill="1" applyAlignment="1">
      <alignment horizontal="center" vertical="center"/>
    </xf>
    <xf numFmtId="164" fontId="7" fillId="2" borderId="1" xfId="0" applyNumberFormat="1" applyFont="1" applyFill="1" applyBorder="1" applyAlignment="1">
      <alignment vertical="center"/>
    </xf>
    <xf numFmtId="164" fontId="7" fillId="22" borderId="0" xfId="0" applyNumberFormat="1" applyFont="1" applyFill="1" applyAlignment="1">
      <alignment vertical="center"/>
    </xf>
    <xf numFmtId="164" fontId="7" fillId="20" borderId="0" xfId="0" applyNumberFormat="1" applyFont="1" applyFill="1" applyAlignment="1">
      <alignment vertical="center"/>
    </xf>
    <xf numFmtId="164" fontId="15" fillId="19" borderId="0" xfId="1" applyNumberFormat="1" applyFont="1" applyFill="1" applyAlignment="1">
      <alignment vertical="center"/>
    </xf>
    <xf numFmtId="164" fontId="15" fillId="19" borderId="0" xfId="0" applyNumberFormat="1" applyFont="1" applyFill="1" applyAlignment="1">
      <alignment vertical="center"/>
    </xf>
    <xf numFmtId="164" fontId="15" fillId="0" borderId="0" xfId="1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164" fontId="8" fillId="9" borderId="0" xfId="0" applyNumberFormat="1" applyFont="1" applyFill="1" applyAlignment="1">
      <alignment horizontal="left" vertical="center"/>
    </xf>
    <xf numFmtId="164" fontId="7" fillId="10" borderId="0" xfId="0" applyNumberFormat="1" applyFont="1" applyFill="1" applyAlignment="1">
      <alignment vertical="center"/>
    </xf>
    <xf numFmtId="164" fontId="23" fillId="10" borderId="0" xfId="0" applyNumberFormat="1" applyFont="1" applyFill="1" applyAlignment="1">
      <alignment horizontal="center" vertical="center"/>
    </xf>
    <xf numFmtId="164" fontId="10" fillId="1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4" fontId="7" fillId="13" borderId="0" xfId="0" applyNumberFormat="1" applyFont="1" applyFill="1" applyAlignment="1">
      <alignment vertical="center"/>
    </xf>
    <xf numFmtId="164" fontId="10" fillId="11" borderId="0" xfId="0" applyNumberFormat="1" applyFont="1" applyFill="1" applyAlignment="1">
      <alignment vertical="center"/>
    </xf>
    <xf numFmtId="164" fontId="7" fillId="13" borderId="0" xfId="1" applyNumberFormat="1" applyFont="1" applyFill="1" applyAlignment="1">
      <alignment vertical="center"/>
    </xf>
    <xf numFmtId="164" fontId="15" fillId="9" borderId="0" xfId="1" applyNumberFormat="1" applyFont="1" applyFill="1" applyAlignment="1">
      <alignment vertical="center"/>
    </xf>
    <xf numFmtId="164" fontId="15" fillId="2" borderId="0" xfId="1" applyNumberFormat="1" applyFont="1" applyFill="1" applyAlignment="1">
      <alignment vertical="center"/>
    </xf>
    <xf numFmtId="164" fontId="15" fillId="23" borderId="0" xfId="1" applyNumberFormat="1" applyFont="1" applyFill="1" applyAlignment="1">
      <alignment vertical="center"/>
    </xf>
    <xf numFmtId="164" fontId="15" fillId="23" borderId="0" xfId="1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vertical="center"/>
    </xf>
    <xf numFmtId="164" fontId="0" fillId="0" borderId="0" xfId="0" applyNumberFormat="1"/>
    <xf numFmtId="0" fontId="0" fillId="0" borderId="0" xfId="0"/>
    <xf numFmtId="164" fontId="10" fillId="24" borderId="0" xfId="0" applyNumberFormat="1" applyFont="1" applyFill="1" applyAlignment="1">
      <alignment vertical="center"/>
    </xf>
    <xf numFmtId="164" fontId="4" fillId="2" borderId="0" xfId="0" applyNumberFormat="1" applyFont="1" applyFill="1"/>
    <xf numFmtId="164" fontId="4" fillId="0" borderId="0" xfId="0" applyNumberFormat="1" applyFont="1"/>
    <xf numFmtId="164" fontId="24" fillId="5" borderId="3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8" borderId="3" xfId="0" applyFont="1" applyFill="1" applyBorder="1" applyAlignment="1">
      <alignment horizontal="right" vertical="center" wrapText="1" indent="1"/>
    </xf>
    <xf numFmtId="0" fontId="17" fillId="7" borderId="3" xfId="0" applyFont="1" applyFill="1" applyBorder="1" applyAlignment="1">
      <alignment horizontal="right" vertical="center" indent="1"/>
    </xf>
    <xf numFmtId="164" fontId="5" fillId="14" borderId="3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0" fillId="0" borderId="0" xfId="0"/>
    <xf numFmtId="0" fontId="17" fillId="3" borderId="3" xfId="0" applyFont="1" applyFill="1" applyBorder="1" applyAlignment="1">
      <alignment horizontal="right" vertical="center" indent="1"/>
    </xf>
    <xf numFmtId="0" fontId="17" fillId="6" borderId="3" xfId="0" applyFont="1" applyFill="1" applyBorder="1" applyAlignment="1">
      <alignment horizontal="right" vertical="center" indent="1"/>
    </xf>
  </cellXfs>
  <cellStyles count="5">
    <cellStyle name="Currency" xfId="1" builtinId="4"/>
    <cellStyle name="Followed Hyperlink" xfId="3" builtinId="9" hidden="1"/>
    <cellStyle name="Hyperlink" xfId="2" builtinId="8" hidden="1"/>
    <cellStyle name="Normal" xfId="0" builtinId="0"/>
    <cellStyle name="Normal 2" xfId="4" xr:uid="{00000000-0005-0000-0000-000004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2434936028038599"/>
          <c:y val="1.11489501312336E-2"/>
          <c:w val="0.66151563554555703"/>
          <c:h val="0.96471030183727002"/>
        </c:manualLayout>
      </c:layout>
      <c:doughnutChart>
        <c:varyColors val="1"/>
        <c:ser>
          <c:idx val="0"/>
          <c:order val="0"/>
          <c:spPr>
            <a:solidFill>
              <a:schemeClr val="accent3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B7-43B8-BA12-F4C475BDFD4B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EB7-43B8-BA12-F4C475BDFD4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solidFill>
                      <a:schemeClr val="bg1"/>
                    </a:solidFill>
                    <a:latin typeface="Century Gothic" charset="0"/>
                    <a:ea typeface="Century Gothic" charset="0"/>
                    <a:cs typeface="Century Gothic" charset="0"/>
                  </a:defRPr>
                </a:pPr>
                <a:endParaRPr lang="pt-PT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'Personal Budget'!$F$4:$G$6</c:f>
              <c:strCache>
                <c:ptCount val="3"/>
                <c:pt idx="0">
                  <c:v>Income</c:v>
                </c:pt>
                <c:pt idx="1">
                  <c:v>Savings</c:v>
                </c:pt>
                <c:pt idx="2">
                  <c:v>Expenses</c:v>
                </c:pt>
              </c:strCache>
            </c:strRef>
          </c:cat>
          <c:val>
            <c:numRef>
              <c:f>'Personal Budget'!$H$4:$H$6</c:f>
              <c:numCache>
                <c:formatCode>#\ ##0.00\ "€"</c:formatCode>
                <c:ptCount val="3"/>
                <c:pt idx="0">
                  <c:v>14463.778588759998</c:v>
                </c:pt>
                <c:pt idx="1">
                  <c:v>3899.712761</c:v>
                </c:pt>
                <c:pt idx="2">
                  <c:v>6729.307431251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B7-43B8-BA12-F4C475BDFD4B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22"/>
      </c:doughnutChart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93862160137136"/>
          <c:y val="8.6337923322170704E-2"/>
          <c:w val="0.80335992413881296"/>
          <c:h val="0.738094018976612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'Personal Budget'!$F$4</c:f>
              <c:strCache>
                <c:ptCount val="1"/>
                <c:pt idx="0">
                  <c:v>Income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100">
                    <a:solidFill>
                      <a:schemeClr val="bg1"/>
                    </a:solidFill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'Personal Budget'!$H$4</c:f>
              <c:numCache>
                <c:formatCode>#\ ##0.00\ "€"</c:formatCode>
                <c:ptCount val="1"/>
                <c:pt idx="0">
                  <c:v>14463.778588759998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D-42FE-8997-462AECB4477B}"/>
            </c:ext>
          </c:extLst>
        </c:ser>
        <c:ser>
          <c:idx val="1"/>
          <c:order val="1"/>
          <c:tx>
            <c:strRef>
              <c:f>'Personal Budget'!$F$6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100">
                    <a:solidFill>
                      <a:schemeClr val="bg1"/>
                    </a:solidFill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'Personal Budget'!$H$6</c:f>
              <c:numCache>
                <c:formatCode>#\ ##0.00\ "€"</c:formatCode>
                <c:ptCount val="1"/>
                <c:pt idx="0">
                  <c:v>6729.307431251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9D-42FE-8997-462AECB447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2"/>
        <c:overlap val="100"/>
        <c:axId val="-1190915488"/>
        <c:axId val="-839073696"/>
      </c:barChart>
      <c:catAx>
        <c:axId val="-1190915488"/>
        <c:scaling>
          <c:orientation val="minMax"/>
        </c:scaling>
        <c:delete val="1"/>
        <c:axPos val="b"/>
        <c:majorTickMark val="none"/>
        <c:minorTickMark val="none"/>
        <c:tickLblPos val="nextTo"/>
        <c:crossAx val="-839073696"/>
        <c:crosses val="autoZero"/>
        <c:auto val="1"/>
        <c:lblAlgn val="ctr"/>
        <c:lblOffset val="100"/>
        <c:noMultiLvlLbl val="0"/>
      </c:catAx>
      <c:valAx>
        <c:axId val="-839073696"/>
        <c:scaling>
          <c:orientation val="minMax"/>
        </c:scaling>
        <c:delete val="0"/>
        <c:axPos val="l"/>
        <c:numFmt formatCode="#\ ##0.00\ &quot;€&quot;" sourceLinked="1"/>
        <c:majorTickMark val="none"/>
        <c:minorTickMark val="none"/>
        <c:tickLblPos val="nextTo"/>
        <c:txPr>
          <a:bodyPr/>
          <a:lstStyle/>
          <a:p>
            <a:pPr>
              <a:defRPr sz="900" b="1"/>
            </a:pPr>
            <a:endParaRPr lang="pt-PT"/>
          </a:p>
        </c:txPr>
        <c:crossAx val="-119091548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5882786526684198"/>
          <c:y val="0.82831984543598702"/>
          <c:w val="0.69623315835520505"/>
          <c:h val="0.116242627466244"/>
        </c:manualLayout>
      </c:layout>
      <c:overlay val="0"/>
      <c:txPr>
        <a:bodyPr/>
        <a:lstStyle/>
        <a:p>
          <a:pPr>
            <a:defRPr sz="1200"/>
          </a:pPr>
          <a:endParaRPr lang="pt-PT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1</xdr:row>
      <xdr:rowOff>552450</xdr:rowOff>
    </xdr:from>
    <xdr:to>
      <xdr:col>14</xdr:col>
      <xdr:colOff>638175</xdr:colOff>
      <xdr:row>16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27163</xdr:colOff>
      <xdr:row>2</xdr:row>
      <xdr:rowOff>132291</xdr:rowOff>
    </xdr:from>
    <xdr:to>
      <xdr:col>4</xdr:col>
      <xdr:colOff>628650</xdr:colOff>
      <xdr:row>15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  <pageSetUpPr fitToPage="1"/>
  </sheetPr>
  <dimension ref="A2:P96"/>
  <sheetViews>
    <sheetView showGridLines="0" tabSelected="1" zoomScale="115" zoomScaleNormal="115" zoomScalePageLayoutView="90" workbookViewId="0">
      <pane ySplit="1" topLeftCell="A13" activePane="bottomLeft" state="frozen"/>
      <selection pane="bottomLeft" activeCell="J95" sqref="J95"/>
    </sheetView>
  </sheetViews>
  <sheetFormatPr defaultColWidth="11" defaultRowHeight="15.75" x14ac:dyDescent="0.25"/>
  <cols>
    <col min="1" max="1" width="3.375" customWidth="1"/>
    <col min="2" max="2" width="34.375" customWidth="1"/>
    <col min="3" max="14" width="11.875" customWidth="1"/>
    <col min="15" max="15" width="13.375" customWidth="1"/>
    <col min="16" max="16" width="20" customWidth="1"/>
  </cols>
  <sheetData>
    <row r="2" spans="1:16" ht="50.1" customHeight="1" x14ac:dyDescent="0.25">
      <c r="B2" s="11" t="s">
        <v>0</v>
      </c>
      <c r="C2" s="8"/>
      <c r="D2" s="8"/>
      <c r="E2" s="8"/>
      <c r="F2" s="1"/>
      <c r="G2" s="1"/>
      <c r="H2" s="1"/>
      <c r="I2" s="1"/>
    </row>
    <row r="3" spans="1:16" ht="24.95" customHeight="1" x14ac:dyDescent="0.3">
      <c r="A3" s="1"/>
      <c r="B3" s="1"/>
      <c r="C3" s="1"/>
      <c r="D3" s="1"/>
      <c r="E3" s="1"/>
      <c r="F3" s="75" t="s">
        <v>1</v>
      </c>
      <c r="G3" s="76"/>
      <c r="H3" s="76"/>
      <c r="I3" s="76"/>
      <c r="J3" s="3"/>
      <c r="K3" s="1"/>
      <c r="L3" s="1"/>
      <c r="M3" s="1"/>
      <c r="N3" s="1"/>
      <c r="O3" s="1"/>
      <c r="P3" s="1"/>
    </row>
    <row r="4" spans="1:16" ht="21.95" customHeight="1" x14ac:dyDescent="0.25">
      <c r="A4" s="1"/>
      <c r="B4" s="1"/>
      <c r="C4" s="1"/>
      <c r="D4" s="1"/>
      <c r="E4" s="1"/>
      <c r="F4" s="73" t="s">
        <v>2</v>
      </c>
      <c r="G4" s="71"/>
      <c r="H4" s="74">
        <f>'Personal Budget'!O30</f>
        <v>14463.778588759998</v>
      </c>
      <c r="I4" s="71"/>
      <c r="J4" s="4"/>
      <c r="K4" s="1"/>
      <c r="L4" s="1"/>
      <c r="M4" s="1"/>
      <c r="N4" s="1"/>
      <c r="O4" s="1"/>
      <c r="P4" s="1"/>
    </row>
    <row r="5" spans="1:16" ht="21.95" customHeight="1" x14ac:dyDescent="0.25">
      <c r="A5" s="1"/>
      <c r="B5" s="1"/>
      <c r="C5" s="1"/>
      <c r="D5" s="1"/>
      <c r="E5" s="1"/>
      <c r="F5" s="77" t="s">
        <v>3</v>
      </c>
      <c r="G5" s="71"/>
      <c r="H5" s="74">
        <f>'Personal Budget'!O41</f>
        <v>3899.712761</v>
      </c>
      <c r="I5" s="71"/>
      <c r="J5" s="4"/>
      <c r="K5" s="1"/>
      <c r="L5" s="1"/>
      <c r="M5" s="1"/>
      <c r="N5" s="1"/>
      <c r="O5" s="1"/>
      <c r="P5" s="1"/>
    </row>
    <row r="6" spans="1:16" ht="21.95" customHeight="1" x14ac:dyDescent="0.25">
      <c r="A6" s="1"/>
      <c r="B6" s="1"/>
      <c r="C6" s="1"/>
      <c r="D6" s="1"/>
      <c r="E6" s="1"/>
      <c r="F6" s="78" t="s">
        <v>4</v>
      </c>
      <c r="G6" s="71"/>
      <c r="H6" s="74">
        <f>'Personal Budget'!O92</f>
        <v>6729.307431251</v>
      </c>
      <c r="I6" s="71"/>
      <c r="J6" s="4"/>
      <c r="K6" s="1"/>
      <c r="L6" s="1"/>
      <c r="M6" s="1"/>
      <c r="N6" s="1"/>
      <c r="O6" s="1"/>
      <c r="P6" s="1"/>
    </row>
    <row r="7" spans="1:16" ht="15.95" customHeight="1" x14ac:dyDescent="0.25">
      <c r="A7" s="1"/>
      <c r="B7" s="1"/>
      <c r="C7" s="1"/>
      <c r="D7" s="1"/>
      <c r="E7" s="1"/>
      <c r="F7" s="1"/>
      <c r="G7" s="4"/>
      <c r="H7" s="4"/>
      <c r="I7" s="4"/>
      <c r="J7" s="4"/>
      <c r="K7" s="1"/>
      <c r="L7" s="1"/>
      <c r="M7" s="1"/>
      <c r="N7" s="1"/>
      <c r="O7" s="1"/>
      <c r="P7" s="1"/>
    </row>
    <row r="8" spans="1:16" ht="21.95" customHeight="1" x14ac:dyDescent="0.25">
      <c r="A8" s="1"/>
      <c r="B8" s="1"/>
      <c r="C8" s="1"/>
      <c r="D8" s="1"/>
      <c r="E8" s="1"/>
      <c r="F8" s="72" t="s">
        <v>5</v>
      </c>
      <c r="G8" s="71"/>
      <c r="H8" s="70">
        <f>(O30-O92)*0.8</f>
        <v>6187.576926007199</v>
      </c>
      <c r="I8" s="71"/>
      <c r="J8" s="4"/>
      <c r="K8" s="1"/>
      <c r="L8" s="1"/>
      <c r="M8" s="1"/>
      <c r="N8" s="1"/>
      <c r="O8" s="1"/>
      <c r="P8" s="1"/>
    </row>
    <row r="9" spans="1:16" ht="15.95" customHeight="1" x14ac:dyDescent="0.25">
      <c r="A9" s="1"/>
      <c r="B9" s="1"/>
      <c r="C9" s="1"/>
      <c r="D9" s="1"/>
      <c r="E9" s="1"/>
      <c r="F9" s="1"/>
      <c r="G9" s="4"/>
      <c r="H9" s="4"/>
      <c r="I9" s="4"/>
      <c r="J9" s="4"/>
      <c r="K9" s="1"/>
      <c r="L9" s="1"/>
      <c r="M9" s="1"/>
      <c r="N9" s="1"/>
      <c r="O9" s="1"/>
      <c r="P9" s="1"/>
    </row>
    <row r="10" spans="1:16" ht="15.95" customHeight="1" x14ac:dyDescent="0.3">
      <c r="A10" s="1"/>
      <c r="B10" s="1"/>
      <c r="C10" s="1"/>
      <c r="D10" s="1"/>
      <c r="E10" s="1"/>
      <c r="F10" s="1"/>
      <c r="G10" s="3"/>
      <c r="H10" s="68"/>
      <c r="I10" s="3"/>
      <c r="J10" s="3"/>
      <c r="K10" s="1"/>
      <c r="L10" s="1"/>
      <c r="M10" s="1"/>
      <c r="N10" s="1"/>
      <c r="O10" s="1"/>
      <c r="P10" s="1"/>
    </row>
    <row r="11" spans="1:16" ht="15.95" customHeight="1" x14ac:dyDescent="0.3">
      <c r="A11" s="1"/>
      <c r="B11" s="1"/>
      <c r="C11" s="1"/>
      <c r="D11" s="1"/>
      <c r="E11" s="1"/>
      <c r="F11" s="1"/>
      <c r="G11" s="3"/>
      <c r="H11" s="3"/>
      <c r="I11" s="3"/>
      <c r="J11" s="3"/>
      <c r="K11" s="1"/>
      <c r="L11" s="1"/>
      <c r="M11" s="1"/>
      <c r="N11" s="1"/>
      <c r="O11" s="1"/>
      <c r="P11" s="1"/>
    </row>
    <row r="12" spans="1:16" ht="15.95" customHeight="1" x14ac:dyDescent="0.3">
      <c r="A12" s="1"/>
      <c r="B12" s="1"/>
      <c r="C12" s="1"/>
      <c r="D12" s="1"/>
      <c r="E12" s="1"/>
      <c r="F12" s="1"/>
      <c r="G12" s="3"/>
      <c r="H12" s="3"/>
      <c r="I12" s="3"/>
      <c r="J12" s="3"/>
      <c r="K12" s="1"/>
      <c r="L12" s="1"/>
      <c r="M12" s="1"/>
      <c r="N12" s="1"/>
      <c r="O12" s="1"/>
      <c r="P12" s="1"/>
    </row>
    <row r="13" spans="1:16" ht="15.95" customHeight="1" x14ac:dyDescent="0.3">
      <c r="A13" s="1"/>
      <c r="B13" s="1"/>
      <c r="C13" s="1"/>
      <c r="D13" s="1"/>
      <c r="E13" s="1"/>
      <c r="F13" s="1"/>
      <c r="G13" s="3"/>
      <c r="H13" s="3"/>
      <c r="I13" s="3"/>
      <c r="J13" s="3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8" customHeight="1" x14ac:dyDescent="0.25">
      <c r="B17" s="15" t="s">
        <v>6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6" s="10" customFormat="1" ht="24.95" customHeight="1" x14ac:dyDescent="0.25">
      <c r="A18" s="5"/>
      <c r="B18" s="9"/>
      <c r="C18" s="27" t="s">
        <v>7</v>
      </c>
      <c r="D18" s="27" t="s">
        <v>8</v>
      </c>
      <c r="E18" s="27" t="s">
        <v>9</v>
      </c>
      <c r="F18" s="27" t="s">
        <v>10</v>
      </c>
      <c r="G18" s="27" t="s">
        <v>11</v>
      </c>
      <c r="H18" s="27" t="s">
        <v>12</v>
      </c>
      <c r="I18" s="27" t="s">
        <v>13</v>
      </c>
      <c r="J18" s="27" t="s">
        <v>14</v>
      </c>
      <c r="K18" s="27" t="s">
        <v>15</v>
      </c>
      <c r="L18" s="27" t="s">
        <v>16</v>
      </c>
      <c r="M18" s="27" t="s">
        <v>17</v>
      </c>
      <c r="N18" s="27" t="s">
        <v>18</v>
      </c>
      <c r="O18" s="64"/>
    </row>
    <row r="19" spans="1:16" ht="21.95" customHeight="1" x14ac:dyDescent="0.3">
      <c r="A19" s="2"/>
      <c r="B19" s="22" t="s">
        <v>2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6" ht="17.25" customHeight="1" x14ac:dyDescent="0.3">
      <c r="A20" s="2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20" t="s">
        <v>19</v>
      </c>
    </row>
    <row r="21" spans="1:16" ht="17.25" customHeight="1" x14ac:dyDescent="0.3">
      <c r="A21" s="2"/>
      <c r="B21" s="16" t="s">
        <v>20</v>
      </c>
      <c r="C21" s="37">
        <v>705.755</v>
      </c>
      <c r="D21" s="37">
        <v>705.755</v>
      </c>
      <c r="E21" s="37">
        <v>705.755</v>
      </c>
      <c r="F21" s="37">
        <v>705.755</v>
      </c>
      <c r="G21" s="37">
        <v>705.755</v>
      </c>
      <c r="H21" s="37">
        <f>705.755-645.704455+160.396632</f>
        <v>220.44717699999995</v>
      </c>
      <c r="I21" s="37">
        <v>595.0435200000001</v>
      </c>
      <c r="J21" s="37">
        <v>0</v>
      </c>
      <c r="K21" s="37">
        <v>859.1800000000001</v>
      </c>
      <c r="L21" s="37">
        <v>859.1800000000001</v>
      </c>
      <c r="M21" s="37">
        <v>859.1800000000001</v>
      </c>
      <c r="N21" s="37">
        <v>859.1800000000001</v>
      </c>
      <c r="O21" s="38">
        <f t="shared" ref="O21:O28" si="0">SUM(C21:N21)</f>
        <v>7780.985697000001</v>
      </c>
      <c r="P21" s="65"/>
    </row>
    <row r="22" spans="1:16" ht="17.25" customHeight="1" x14ac:dyDescent="0.3">
      <c r="A22" s="2"/>
      <c r="B22" s="16" t="s">
        <v>21</v>
      </c>
      <c r="C22" s="37">
        <v>0</v>
      </c>
      <c r="D22" s="37">
        <v>131.57728</v>
      </c>
      <c r="E22" s="37">
        <v>0</v>
      </c>
      <c r="F22" s="37">
        <v>0</v>
      </c>
      <c r="G22" s="37">
        <v>0</v>
      </c>
      <c r="H22" s="37">
        <v>0</v>
      </c>
      <c r="I22" s="37">
        <v>88.3728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8">
        <f t="shared" si="0"/>
        <v>219.95007999999999</v>
      </c>
      <c r="P22" s="65"/>
    </row>
    <row r="23" spans="1:16" ht="17.25" customHeight="1" x14ac:dyDescent="0.3">
      <c r="A23" s="2"/>
      <c r="B23" s="16" t="s">
        <v>22</v>
      </c>
      <c r="C23" s="37">
        <v>-61.370000000000005</v>
      </c>
      <c r="D23" s="37">
        <v>-61.370000000000005</v>
      </c>
      <c r="E23" s="37">
        <v>-61.370000000000005</v>
      </c>
      <c r="F23" s="37">
        <v>-64.4385</v>
      </c>
      <c r="G23" s="37">
        <v>-62.5974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8">
        <f t="shared" si="0"/>
        <v>-311.14590000000004</v>
      </c>
    </row>
    <row r="24" spans="1:16" ht="17.25" customHeight="1" x14ac:dyDescent="0.3">
      <c r="A24" s="2"/>
      <c r="B24" s="16" t="s">
        <v>23</v>
      </c>
      <c r="C24" s="37">
        <v>-90.56984600000001</v>
      </c>
      <c r="D24" s="37">
        <v>-90.56984600000001</v>
      </c>
      <c r="E24" s="37">
        <v>-90.56984600000001</v>
      </c>
      <c r="F24" s="37">
        <v>-90.56984600000001</v>
      </c>
      <c r="G24" s="37">
        <v>-90.56984600000001</v>
      </c>
      <c r="H24" s="37">
        <v>-25.953373</v>
      </c>
      <c r="I24" s="37">
        <f>-(65.457242+48.224546000000004)</f>
        <v>-113.68178800000001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8">
        <f t="shared" si="0"/>
        <v>-592.4843910000001</v>
      </c>
    </row>
    <row r="25" spans="1:16" ht="17.25" customHeight="1" x14ac:dyDescent="0.3">
      <c r="A25" s="2"/>
      <c r="B25" s="16" t="s">
        <v>24</v>
      </c>
      <c r="C25" s="37">
        <v>122.74000000000001</v>
      </c>
      <c r="D25" s="37">
        <v>122.74000000000001</v>
      </c>
      <c r="E25" s="37">
        <v>122.74000000000001</v>
      </c>
      <c r="F25" s="37">
        <v>122.74000000000001</v>
      </c>
      <c r="G25" s="37">
        <f>122.74000000000001</f>
        <v>122.74000000000001</v>
      </c>
      <c r="H25" s="37">
        <v>43.72268828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8">
        <f t="shared" si="0"/>
        <v>657.4226882800001</v>
      </c>
    </row>
    <row r="26" spans="1:16" ht="17.25" customHeight="1" x14ac:dyDescent="0.3">
      <c r="A26" s="2"/>
      <c r="B26" s="16" t="s">
        <v>25</v>
      </c>
      <c r="C26" s="37">
        <f>2.8843900000000002+30.685000000000002</f>
        <v>33.569390000000006</v>
      </c>
      <c r="D26" s="37">
        <v>44.615990000000004</v>
      </c>
      <c r="E26" s="37">
        <f>2.8843900000000002+70.53254100000001+38.724470000000004+7.3644+36.852685+47.37764000000001+33.93761</f>
        <v>237.67373600000002</v>
      </c>
      <c r="F26" s="37">
        <f>12.274000000000001+39.46091+30.685000000000002+49.12054800000001+15.342500000000001</f>
        <v>146.88295800000003</v>
      </c>
      <c r="G26" s="37">
        <f>15.342500000000001+19.6384+428.81673800000004+33.87624</f>
        <v>497.67387800000006</v>
      </c>
      <c r="H26" s="37">
        <f>71.56969400000001+43.173795+35.04227+36.822</f>
        <v>186.60775900000002</v>
      </c>
      <c r="I26" s="37">
        <f>43.66475500000001+35.22638+5.492615+9.2055</f>
        <v>93.58925</v>
      </c>
      <c r="J26" s="37">
        <f>122.74000000000001+123.752605+199.45250000000001+173.953265</f>
        <v>619.89837</v>
      </c>
      <c r="K26" s="37">
        <v>0</v>
      </c>
      <c r="L26" s="37">
        <v>0</v>
      </c>
      <c r="M26" s="37">
        <v>0</v>
      </c>
      <c r="N26" s="37">
        <v>0</v>
      </c>
      <c r="O26" s="38">
        <f t="shared" si="0"/>
        <v>1860.5113310000002</v>
      </c>
    </row>
    <row r="27" spans="1:16" s="66" customFormat="1" ht="17.25" customHeight="1" x14ac:dyDescent="0.3">
      <c r="A27" s="2"/>
      <c r="B27" s="16" t="s">
        <v>70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8">
        <f t="shared" si="0"/>
        <v>0</v>
      </c>
    </row>
    <row r="28" spans="1:16" ht="17.25" customHeight="1" x14ac:dyDescent="0.3">
      <c r="A28" s="2"/>
      <c r="B28" s="16" t="s">
        <v>71</v>
      </c>
      <c r="C28" s="37">
        <f>58.810871*1.2274</f>
        <v>117.621742</v>
      </c>
      <c r="D28" s="37">
        <f>58.810871*1.2274</f>
        <v>117.621742</v>
      </c>
      <c r="E28" s="37">
        <f>58.810871*1.2274</f>
        <v>117.621742</v>
      </c>
      <c r="F28" s="37">
        <f>58.810871*1.2274</f>
        <v>117.621742</v>
      </c>
      <c r="G28" s="37">
        <f>58.810871*1.2274</f>
        <v>117.621742</v>
      </c>
      <c r="H28" s="37">
        <f>7.7448939999999995*1.2274</f>
        <v>15.489787999999999</v>
      </c>
      <c r="I28" s="37">
        <v>438.40886900000004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8">
        <f t="shared" si="0"/>
        <v>1042.007367</v>
      </c>
    </row>
    <row r="29" spans="1:16" ht="17.25" customHeight="1" x14ac:dyDescent="0.3">
      <c r="A29" s="2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39"/>
    </row>
    <row r="30" spans="1:16" ht="17.25" customHeight="1" x14ac:dyDescent="0.3">
      <c r="A30" s="2"/>
      <c r="B30" s="25" t="s">
        <v>26</v>
      </c>
      <c r="C30" s="40">
        <f t="shared" ref="C30:N30" si="1">SUM(C21:C28)</f>
        <v>827.7462860000002</v>
      </c>
      <c r="D30" s="40">
        <f t="shared" si="1"/>
        <v>970.3701660000003</v>
      </c>
      <c r="E30" s="40">
        <f t="shared" si="1"/>
        <v>1031.8506320000001</v>
      </c>
      <c r="F30" s="40">
        <f t="shared" si="1"/>
        <v>937.9913540000002</v>
      </c>
      <c r="G30" s="40">
        <f t="shared" si="1"/>
        <v>1290.623374</v>
      </c>
      <c r="H30" s="40">
        <f t="shared" si="1"/>
        <v>440.3140392799999</v>
      </c>
      <c r="I30" s="40">
        <f t="shared" si="1"/>
        <v>1101.732651</v>
      </c>
      <c r="J30" s="40">
        <f t="shared" si="1"/>
        <v>619.89837</v>
      </c>
      <c r="K30" s="40">
        <f t="shared" si="1"/>
        <v>859.1800000000001</v>
      </c>
      <c r="L30" s="40">
        <f t="shared" si="1"/>
        <v>859.1800000000001</v>
      </c>
      <c r="M30" s="40">
        <f t="shared" si="1"/>
        <v>859.1800000000001</v>
      </c>
      <c r="N30" s="40">
        <f t="shared" si="1"/>
        <v>859.1800000000001</v>
      </c>
      <c r="O30" s="41">
        <f>SUM(C30:N30)</f>
        <v>10657.24687228</v>
      </c>
    </row>
    <row r="31" spans="1:16" ht="17.25" customHeight="1" x14ac:dyDescent="0.3">
      <c r="A31" s="2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42"/>
    </row>
    <row r="32" spans="1:16" ht="21.95" customHeight="1" x14ac:dyDescent="0.3">
      <c r="A32" s="2"/>
      <c r="B32" s="29" t="s">
        <v>3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43"/>
    </row>
    <row r="33" spans="1:16" ht="17.25" customHeight="1" x14ac:dyDescent="0.3">
      <c r="A33" s="2"/>
      <c r="B33" s="31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44" t="s">
        <v>19</v>
      </c>
    </row>
    <row r="34" spans="1:16" ht="17.25" customHeight="1" x14ac:dyDescent="0.3">
      <c r="A34" s="2"/>
      <c r="B34" s="32" t="s">
        <v>27</v>
      </c>
      <c r="C34" s="45">
        <v>0</v>
      </c>
      <c r="D34" s="45">
        <f>64.205+513.64+373.621736</f>
        <v>951.4667360000001</v>
      </c>
      <c r="E34" s="45">
        <f>81.02671000000001+256.82+613.838323</f>
        <v>951.685033</v>
      </c>
      <c r="F34" s="45">
        <v>385.23</v>
      </c>
      <c r="G34" s="45">
        <v>0</v>
      </c>
      <c r="H34" s="45">
        <v>0</v>
      </c>
      <c r="I34" s="45">
        <v>1284.1</v>
      </c>
      <c r="J34" s="45">
        <v>256.82</v>
      </c>
      <c r="K34" s="45">
        <v>0</v>
      </c>
      <c r="L34" s="45">
        <v>0</v>
      </c>
      <c r="M34" s="45">
        <v>0</v>
      </c>
      <c r="N34" s="45">
        <v>0</v>
      </c>
      <c r="O34" s="46">
        <f t="shared" ref="O34:O39" si="2">SUM(C34:N34)</f>
        <v>3829.301769</v>
      </c>
    </row>
    <row r="35" spans="1:16" ht="17.25" customHeight="1" x14ac:dyDescent="0.3">
      <c r="A35" s="2"/>
      <c r="B35" s="32" t="s">
        <v>28</v>
      </c>
      <c r="C35" s="45">
        <v>0</v>
      </c>
      <c r="D35" s="45">
        <v>0</v>
      </c>
      <c r="E35" s="45">
        <v>0</v>
      </c>
      <c r="F35" s="45">
        <v>385.23</v>
      </c>
      <c r="G35" s="45">
        <v>1540.92</v>
      </c>
      <c r="H35" s="45">
        <v>0</v>
      </c>
      <c r="I35" s="45">
        <v>256.82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6">
        <f t="shared" si="2"/>
        <v>2182.9700000000003</v>
      </c>
    </row>
    <row r="36" spans="1:16" ht="17.25" customHeight="1" x14ac:dyDescent="0.3">
      <c r="A36" s="2"/>
      <c r="B36" s="32" t="s">
        <v>29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6">
        <f t="shared" si="2"/>
        <v>0</v>
      </c>
    </row>
    <row r="37" spans="1:16" ht="17.25" customHeight="1" x14ac:dyDescent="0.3">
      <c r="A37" s="2"/>
      <c r="B37" s="32" t="s">
        <v>30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6">
        <f t="shared" si="2"/>
        <v>0</v>
      </c>
    </row>
    <row r="38" spans="1:16" ht="17.25" customHeight="1" x14ac:dyDescent="0.3">
      <c r="A38" s="2"/>
      <c r="B38" s="32" t="s">
        <v>31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6">
        <f t="shared" si="2"/>
        <v>0</v>
      </c>
    </row>
    <row r="39" spans="1:16" ht="17.25" customHeight="1" x14ac:dyDescent="0.3">
      <c r="A39" s="2"/>
      <c r="B39" s="32" t="s">
        <v>25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6">
        <f t="shared" si="2"/>
        <v>0</v>
      </c>
    </row>
    <row r="40" spans="1:16" ht="17.25" customHeight="1" x14ac:dyDescent="0.3">
      <c r="A40" s="2"/>
      <c r="B40" s="31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</row>
    <row r="41" spans="1:16" ht="17.25" customHeight="1" x14ac:dyDescent="0.3">
      <c r="A41" s="2"/>
      <c r="B41" s="34" t="s">
        <v>26</v>
      </c>
      <c r="C41" s="48">
        <f t="shared" ref="C41:N41" si="3">SUM(C34:C39)</f>
        <v>0</v>
      </c>
      <c r="D41" s="48">
        <f t="shared" si="3"/>
        <v>951.4667360000001</v>
      </c>
      <c r="E41" s="48">
        <f t="shared" si="3"/>
        <v>951.685033</v>
      </c>
      <c r="F41" s="48">
        <f t="shared" si="3"/>
        <v>770.46</v>
      </c>
      <c r="G41" s="48">
        <f t="shared" si="3"/>
        <v>1540.92</v>
      </c>
      <c r="H41" s="48">
        <f t="shared" si="3"/>
        <v>0</v>
      </c>
      <c r="I41" s="48">
        <f t="shared" si="3"/>
        <v>1540.92</v>
      </c>
      <c r="J41" s="48">
        <f t="shared" si="3"/>
        <v>256.82</v>
      </c>
      <c r="K41" s="48">
        <f t="shared" si="3"/>
        <v>0</v>
      </c>
      <c r="L41" s="48">
        <f t="shared" si="3"/>
        <v>0</v>
      </c>
      <c r="M41" s="48">
        <f t="shared" si="3"/>
        <v>0</v>
      </c>
      <c r="N41" s="48">
        <f t="shared" si="3"/>
        <v>0</v>
      </c>
      <c r="O41" s="49">
        <f>SUM(C41:N41)</f>
        <v>6012.271769</v>
      </c>
    </row>
    <row r="42" spans="1:16" ht="17.25" customHeight="1" x14ac:dyDescent="0.3">
      <c r="A42" s="2"/>
      <c r="B42" s="28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1"/>
      <c r="P42" s="2"/>
    </row>
    <row r="43" spans="1:16" ht="21.95" customHeight="1" x14ac:dyDescent="0.3">
      <c r="A43" s="2"/>
      <c r="B43" s="19" t="s">
        <v>4</v>
      </c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2"/>
    </row>
    <row r="44" spans="1:16" ht="17.25" customHeight="1" x14ac:dyDescent="0.3">
      <c r="A44" s="2"/>
      <c r="B44" s="12" t="s">
        <v>32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4" t="s">
        <v>19</v>
      </c>
      <c r="P44" s="2"/>
    </row>
    <row r="45" spans="1:16" ht="17.25" customHeight="1" x14ac:dyDescent="0.3">
      <c r="A45" s="2"/>
      <c r="B45" s="21" t="s">
        <v>33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53">
        <f t="shared" ref="O45:O50" si="4">SUM(C45:N45)</f>
        <v>0</v>
      </c>
      <c r="P45" s="2"/>
    </row>
    <row r="46" spans="1:16" ht="17.25" customHeight="1" x14ac:dyDescent="0.3">
      <c r="A46" s="2"/>
      <c r="B46" s="21" t="s">
        <v>34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53">
        <f t="shared" si="4"/>
        <v>0</v>
      </c>
      <c r="P46" s="2"/>
    </row>
    <row r="47" spans="1:16" ht="17.25" customHeight="1" x14ac:dyDescent="0.3">
      <c r="A47" s="2"/>
      <c r="B47" s="21" t="s">
        <v>35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53">
        <f t="shared" si="4"/>
        <v>0</v>
      </c>
      <c r="P47" s="2"/>
    </row>
    <row r="48" spans="1:16" ht="17.25" customHeight="1" x14ac:dyDescent="0.3">
      <c r="A48" s="2"/>
      <c r="B48" s="21" t="s">
        <v>36</v>
      </c>
      <c r="C48" s="45">
        <v>0</v>
      </c>
      <c r="D48" s="45">
        <v>0</v>
      </c>
      <c r="E48" s="45">
        <v>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v>0</v>
      </c>
      <c r="O48" s="53">
        <f t="shared" si="4"/>
        <v>0</v>
      </c>
      <c r="P48" s="2"/>
    </row>
    <row r="49" spans="1:16" ht="17.25" customHeight="1" x14ac:dyDescent="0.3">
      <c r="A49" s="2"/>
      <c r="B49" s="21" t="s">
        <v>37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53">
        <f t="shared" si="4"/>
        <v>0</v>
      </c>
      <c r="P49" s="2"/>
    </row>
    <row r="50" spans="1:16" ht="17.25" customHeight="1" x14ac:dyDescent="0.3">
      <c r="A50" s="2"/>
      <c r="B50" s="21" t="s">
        <v>38</v>
      </c>
      <c r="C50" s="45">
        <v>0</v>
      </c>
      <c r="D50" s="45">
        <v>0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53">
        <f t="shared" si="4"/>
        <v>0</v>
      </c>
      <c r="P50" s="2"/>
    </row>
    <row r="51" spans="1:16" ht="17.25" customHeight="1" x14ac:dyDescent="0.3">
      <c r="A51" s="2"/>
      <c r="B51" s="13"/>
      <c r="C51" s="55">
        <f t="shared" ref="C51:O51" si="5">SUM(C45:C50)</f>
        <v>0</v>
      </c>
      <c r="D51" s="55">
        <f t="shared" si="5"/>
        <v>0</v>
      </c>
      <c r="E51" s="55">
        <f t="shared" si="5"/>
        <v>0</v>
      </c>
      <c r="F51" s="55">
        <f t="shared" si="5"/>
        <v>0</v>
      </c>
      <c r="G51" s="55">
        <f t="shared" si="5"/>
        <v>0</v>
      </c>
      <c r="H51" s="55">
        <f t="shared" si="5"/>
        <v>0</v>
      </c>
      <c r="I51" s="55">
        <f t="shared" si="5"/>
        <v>0</v>
      </c>
      <c r="J51" s="55">
        <f t="shared" si="5"/>
        <v>0</v>
      </c>
      <c r="K51" s="55">
        <f t="shared" si="5"/>
        <v>0</v>
      </c>
      <c r="L51" s="55">
        <f t="shared" si="5"/>
        <v>0</v>
      </c>
      <c r="M51" s="55">
        <f t="shared" si="5"/>
        <v>0</v>
      </c>
      <c r="N51" s="55">
        <f t="shared" si="5"/>
        <v>0</v>
      </c>
      <c r="O51" s="55">
        <f t="shared" si="5"/>
        <v>0</v>
      </c>
      <c r="P51" s="2"/>
    </row>
    <row r="52" spans="1:16" ht="17.25" customHeight="1" x14ac:dyDescent="0.3">
      <c r="A52" s="2"/>
      <c r="B52" s="12" t="s">
        <v>39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6"/>
      <c r="P52" s="2"/>
    </row>
    <row r="53" spans="1:16" ht="17.25" customHeight="1" x14ac:dyDescent="0.3">
      <c r="A53" s="2"/>
      <c r="B53" s="21" t="s">
        <v>40</v>
      </c>
      <c r="C53" s="45">
        <v>0</v>
      </c>
      <c r="D53" s="45">
        <v>0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53">
        <f t="shared" ref="O53:O58" si="6">SUM(C53:N53)</f>
        <v>0</v>
      </c>
      <c r="P53" s="2"/>
    </row>
    <row r="54" spans="1:16" ht="17.25" customHeight="1" x14ac:dyDescent="0.3">
      <c r="A54" s="2"/>
      <c r="B54" s="21" t="s">
        <v>41</v>
      </c>
      <c r="C54" s="45">
        <v>0</v>
      </c>
      <c r="D54" s="45">
        <v>68.622631</v>
      </c>
      <c r="E54" s="45">
        <f>52.88915+42.003147</f>
        <v>94.892297</v>
      </c>
      <c r="F54" s="45">
        <v>0</v>
      </c>
      <c r="G54" s="45">
        <v>0</v>
      </c>
      <c r="H54" s="45">
        <v>67.564848</v>
      </c>
      <c r="I54" s="45">
        <f>16.658+67.93965299999999</f>
        <v>84.597653</v>
      </c>
      <c r="J54" s="45">
        <v>66.865212</v>
      </c>
      <c r="K54" s="45">
        <v>0</v>
      </c>
      <c r="L54" s="45">
        <v>0</v>
      </c>
      <c r="M54" s="45">
        <v>0</v>
      </c>
      <c r="N54" s="45">
        <v>0</v>
      </c>
      <c r="O54" s="53">
        <f t="shared" si="6"/>
        <v>382.54264099999995</v>
      </c>
      <c r="P54" s="2"/>
    </row>
    <row r="55" spans="1:16" ht="17.25" customHeight="1" x14ac:dyDescent="0.3">
      <c r="A55" s="2"/>
      <c r="B55" s="21" t="s">
        <v>42</v>
      </c>
      <c r="C55" s="45">
        <v>0</v>
      </c>
      <c r="D55" s="45">
        <v>99.048468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53">
        <f t="shared" si="6"/>
        <v>99.048468</v>
      </c>
      <c r="P55" s="2"/>
    </row>
    <row r="56" spans="1:16" ht="17.25" customHeight="1" x14ac:dyDescent="0.3">
      <c r="A56" s="2"/>
      <c r="B56" s="21" t="s">
        <v>43</v>
      </c>
      <c r="C56" s="45">
        <v>0</v>
      </c>
      <c r="D56" s="45">
        <v>3.1317039999999996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53">
        <f t="shared" si="6"/>
        <v>3.1317039999999996</v>
      </c>
      <c r="P56" s="2"/>
    </row>
    <row r="57" spans="1:16" ht="17.25" customHeight="1" x14ac:dyDescent="0.3">
      <c r="A57" s="2"/>
      <c r="B57" s="21" t="s">
        <v>44</v>
      </c>
      <c r="C57" s="45">
        <v>0</v>
      </c>
      <c r="D57" s="45">
        <v>201.453523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453.9305</v>
      </c>
      <c r="K57" s="45">
        <v>0</v>
      </c>
      <c r="L57" s="45">
        <v>0</v>
      </c>
      <c r="M57" s="45">
        <v>0</v>
      </c>
      <c r="N57" s="45">
        <v>0</v>
      </c>
      <c r="O57" s="53">
        <f t="shared" si="6"/>
        <v>655.384023</v>
      </c>
      <c r="P57" s="2"/>
    </row>
    <row r="58" spans="1:16" ht="17.25" customHeight="1" x14ac:dyDescent="0.3">
      <c r="A58" s="2"/>
      <c r="B58" s="21" t="s">
        <v>25</v>
      </c>
      <c r="C58" s="45">
        <v>0</v>
      </c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12.485171</v>
      </c>
      <c r="J58" s="45">
        <f>30.709023</f>
        <v>30.709023</v>
      </c>
      <c r="K58" s="45">
        <v>0</v>
      </c>
      <c r="L58" s="45">
        <v>0</v>
      </c>
      <c r="M58" s="45">
        <v>0</v>
      </c>
      <c r="N58" s="45">
        <v>0</v>
      </c>
      <c r="O58" s="53">
        <f t="shared" si="6"/>
        <v>43.194193999999996</v>
      </c>
      <c r="P58" s="2"/>
    </row>
    <row r="59" spans="1:16" ht="17.25" customHeight="1" x14ac:dyDescent="0.3">
      <c r="A59" s="2"/>
      <c r="B59" s="13"/>
      <c r="C59" s="57">
        <f t="shared" ref="C59:O59" si="7">SUM(C53:C58)</f>
        <v>0</v>
      </c>
      <c r="D59" s="57">
        <f t="shared" si="7"/>
        <v>372.256326</v>
      </c>
      <c r="E59" s="57">
        <f t="shared" si="7"/>
        <v>94.892297</v>
      </c>
      <c r="F59" s="57">
        <f t="shared" si="7"/>
        <v>0</v>
      </c>
      <c r="G59" s="57">
        <f t="shared" si="7"/>
        <v>0</v>
      </c>
      <c r="H59" s="57">
        <f t="shared" si="7"/>
        <v>67.564848</v>
      </c>
      <c r="I59" s="57">
        <f t="shared" si="7"/>
        <v>97.08282399999999</v>
      </c>
      <c r="J59" s="57">
        <f t="shared" si="7"/>
        <v>551.504735</v>
      </c>
      <c r="K59" s="57">
        <f t="shared" si="7"/>
        <v>0</v>
      </c>
      <c r="L59" s="57">
        <f t="shared" si="7"/>
        <v>0</v>
      </c>
      <c r="M59" s="57">
        <f t="shared" si="7"/>
        <v>0</v>
      </c>
      <c r="N59" s="57">
        <f t="shared" si="7"/>
        <v>0</v>
      </c>
      <c r="O59" s="57">
        <f t="shared" si="7"/>
        <v>1183.3010299999999</v>
      </c>
      <c r="P59" s="2"/>
    </row>
    <row r="60" spans="1:16" ht="17.25" customHeight="1" x14ac:dyDescent="0.3">
      <c r="A60" s="2"/>
      <c r="B60" s="12" t="s">
        <v>45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6"/>
      <c r="P60" s="2"/>
    </row>
    <row r="61" spans="1:16" ht="17.25" customHeight="1" x14ac:dyDescent="0.3">
      <c r="A61" s="2"/>
      <c r="B61" s="21" t="s">
        <v>46</v>
      </c>
      <c r="C61" s="45">
        <v>0</v>
      </c>
      <c r="D61" s="45">
        <v>0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v>0</v>
      </c>
      <c r="O61" s="53">
        <f>SUM(C61:N61)</f>
        <v>0</v>
      </c>
      <c r="P61" s="2"/>
    </row>
    <row r="62" spans="1:16" ht="17.25" customHeight="1" x14ac:dyDescent="0.3">
      <c r="A62" s="2"/>
      <c r="B62" s="21" t="s">
        <v>47</v>
      </c>
      <c r="C62" s="45">
        <v>0</v>
      </c>
      <c r="D62" s="45">
        <v>0</v>
      </c>
      <c r="E62" s="45">
        <v>0</v>
      </c>
      <c r="F62" s="45">
        <v>33.316</v>
      </c>
      <c r="G62" s="45">
        <v>0</v>
      </c>
      <c r="H62" s="45">
        <v>0</v>
      </c>
      <c r="I62" s="45">
        <v>33.316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53">
        <f>SUM(C62:N62)</f>
        <v>66.632</v>
      </c>
      <c r="P62" s="2"/>
    </row>
    <row r="63" spans="1:16" ht="17.25" customHeight="1" x14ac:dyDescent="0.3">
      <c r="A63" s="2"/>
      <c r="B63" s="21" t="s">
        <v>48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11.952115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53">
        <f>SUM(C63:N63)</f>
        <v>11.952115</v>
      </c>
      <c r="P63" s="2"/>
    </row>
    <row r="64" spans="1:16" ht="17.25" customHeight="1" x14ac:dyDescent="0.3">
      <c r="A64" s="2"/>
      <c r="B64" s="21" t="s">
        <v>49</v>
      </c>
      <c r="C64" s="45">
        <v>0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0</v>
      </c>
      <c r="O64" s="53">
        <f>SUM(C64:N64)</f>
        <v>0</v>
      </c>
      <c r="P64" s="2"/>
    </row>
    <row r="65" spans="1:16" ht="17.25" customHeight="1" x14ac:dyDescent="0.3">
      <c r="A65" s="2"/>
      <c r="B65" s="21" t="s">
        <v>25</v>
      </c>
      <c r="C65" s="45">
        <v>0</v>
      </c>
      <c r="D65" s="45">
        <v>0</v>
      </c>
      <c r="E65" s="45">
        <v>63.683533999999995</v>
      </c>
      <c r="F65" s="45">
        <v>11.902140999999999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53">
        <f>SUM(C65:N65)</f>
        <v>75.585675</v>
      </c>
      <c r="P65" s="2"/>
    </row>
    <row r="66" spans="1:16" ht="17.25" customHeight="1" x14ac:dyDescent="0.3">
      <c r="A66" s="2"/>
      <c r="B66" s="13"/>
      <c r="C66" s="57">
        <f t="shared" ref="C66:O66" si="8">SUM(C61:C65)</f>
        <v>0</v>
      </c>
      <c r="D66" s="57">
        <f t="shared" si="8"/>
        <v>0</v>
      </c>
      <c r="E66" s="57">
        <f t="shared" si="8"/>
        <v>63.683533999999995</v>
      </c>
      <c r="F66" s="57">
        <f t="shared" si="8"/>
        <v>45.218140999999996</v>
      </c>
      <c r="G66" s="57">
        <f t="shared" si="8"/>
        <v>0</v>
      </c>
      <c r="H66" s="57">
        <f t="shared" si="8"/>
        <v>11.952115</v>
      </c>
      <c r="I66" s="57">
        <f t="shared" si="8"/>
        <v>33.316</v>
      </c>
      <c r="J66" s="57">
        <f t="shared" si="8"/>
        <v>0</v>
      </c>
      <c r="K66" s="57">
        <f t="shared" si="8"/>
        <v>0</v>
      </c>
      <c r="L66" s="57">
        <f t="shared" si="8"/>
        <v>0</v>
      </c>
      <c r="M66" s="57">
        <f t="shared" si="8"/>
        <v>0</v>
      </c>
      <c r="N66" s="57">
        <f t="shared" si="8"/>
        <v>0</v>
      </c>
      <c r="O66" s="57">
        <f t="shared" si="8"/>
        <v>154.16978999999998</v>
      </c>
      <c r="P66" s="2"/>
    </row>
    <row r="67" spans="1:16" ht="17.25" customHeight="1" x14ac:dyDescent="0.3">
      <c r="A67" s="2"/>
      <c r="B67" s="12" t="s">
        <v>50</v>
      </c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67"/>
      <c r="P67" s="2"/>
    </row>
    <row r="68" spans="1:16" ht="17.25" customHeight="1" x14ac:dyDescent="0.3">
      <c r="A68" s="2"/>
      <c r="B68" s="21" t="s">
        <v>51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53">
        <f>SUM(C68:N68)</f>
        <v>0</v>
      </c>
      <c r="P68" s="2"/>
    </row>
    <row r="69" spans="1:16" ht="17.25" customHeight="1" x14ac:dyDescent="0.3">
      <c r="A69" s="2"/>
      <c r="B69" s="21" t="s">
        <v>52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53">
        <f>SUM(C69:N69)</f>
        <v>0</v>
      </c>
      <c r="P69" s="2"/>
    </row>
    <row r="70" spans="1:16" ht="17.25" customHeight="1" x14ac:dyDescent="0.3">
      <c r="A70" s="2"/>
      <c r="B70" s="21" t="s">
        <v>53</v>
      </c>
      <c r="C70" s="45">
        <f>29.143171000000002+24.978671+8.320670999999999</f>
        <v>62.442513</v>
      </c>
      <c r="D70" s="45">
        <v>0</v>
      </c>
      <c r="E70" s="45">
        <f>10.8277+33.274355</f>
        <v>44.102055</v>
      </c>
      <c r="F70" s="45">
        <v>0</v>
      </c>
      <c r="G70" s="45">
        <v>20.822499999999998</v>
      </c>
      <c r="H70" s="45">
        <f>65.7991+24.737129999999997+16.57471+29.068209999999997</f>
        <v>136.17915</v>
      </c>
      <c r="I70" s="45">
        <f>22.4883+72.870421</f>
        <v>95.35872099999999</v>
      </c>
      <c r="J70" s="45">
        <f>23.23791+(11.652270999999999)+81.19942099999999</f>
        <v>116.089602</v>
      </c>
      <c r="K70" s="45">
        <v>0</v>
      </c>
      <c r="L70" s="45">
        <v>0</v>
      </c>
      <c r="M70" s="45">
        <v>0</v>
      </c>
      <c r="N70" s="45">
        <v>0</v>
      </c>
      <c r="O70" s="53">
        <f>SUM(C70:N70)</f>
        <v>474.99454099999997</v>
      </c>
      <c r="P70" s="2"/>
    </row>
    <row r="71" spans="1:16" ht="17.25" customHeight="1" x14ac:dyDescent="0.3">
      <c r="A71" s="2"/>
      <c r="B71" s="13"/>
      <c r="C71" s="57">
        <f t="shared" ref="C71:O71" si="9">SUM(C68:C70)</f>
        <v>62.442513</v>
      </c>
      <c r="D71" s="57">
        <f t="shared" si="9"/>
        <v>0</v>
      </c>
      <c r="E71" s="57">
        <f t="shared" si="9"/>
        <v>44.102055</v>
      </c>
      <c r="F71" s="57">
        <f t="shared" si="9"/>
        <v>0</v>
      </c>
      <c r="G71" s="57">
        <f t="shared" si="9"/>
        <v>20.822499999999998</v>
      </c>
      <c r="H71" s="57">
        <f t="shared" si="9"/>
        <v>136.17915</v>
      </c>
      <c r="I71" s="57">
        <f t="shared" si="9"/>
        <v>95.35872099999999</v>
      </c>
      <c r="J71" s="57">
        <f t="shared" si="9"/>
        <v>116.089602</v>
      </c>
      <c r="K71" s="57">
        <f t="shared" si="9"/>
        <v>0</v>
      </c>
      <c r="L71" s="57">
        <f t="shared" si="9"/>
        <v>0</v>
      </c>
      <c r="M71" s="57">
        <f t="shared" si="9"/>
        <v>0</v>
      </c>
      <c r="N71" s="57">
        <f t="shared" si="9"/>
        <v>0</v>
      </c>
      <c r="O71" s="57">
        <f t="shared" si="9"/>
        <v>474.99454099999997</v>
      </c>
      <c r="P71" s="2"/>
    </row>
    <row r="72" spans="1:16" ht="17.25" customHeight="1" x14ac:dyDescent="0.3">
      <c r="A72" s="2"/>
      <c r="B72" s="12" t="s">
        <v>54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6"/>
      <c r="P72" s="2"/>
    </row>
    <row r="73" spans="1:16" ht="17.25" customHeight="1" x14ac:dyDescent="0.3">
      <c r="A73" s="2"/>
      <c r="B73" s="24" t="s">
        <v>55</v>
      </c>
      <c r="C73" s="45">
        <v>0</v>
      </c>
      <c r="D73" s="45">
        <f>41.644999999999996+49.80741999999999</f>
        <v>91.45241999999999</v>
      </c>
      <c r="E73" s="45">
        <v>0</v>
      </c>
      <c r="F73" s="45">
        <f>38.230109999999996+34.9818+(10.786055+6.49662+5.830299999999999)+3.08173</f>
        <v>99.406615</v>
      </c>
      <c r="G73" s="45">
        <f>15.825099999999999+14.1593</f>
        <v>29.9844</v>
      </c>
      <c r="H73" s="45">
        <v>21.6554</v>
      </c>
      <c r="I73" s="45">
        <f>9.57835+6.74649</f>
        <v>16.324840000000002</v>
      </c>
      <c r="J73" s="45">
        <f>14.1593+38.3134</f>
        <v>52.472699999999996</v>
      </c>
      <c r="K73" s="45">
        <v>0</v>
      </c>
      <c r="L73" s="45">
        <v>0</v>
      </c>
      <c r="M73" s="45">
        <v>0</v>
      </c>
      <c r="N73" s="45">
        <v>0</v>
      </c>
      <c r="O73" s="53">
        <f>SUM(C73:N73)</f>
        <v>311.296375</v>
      </c>
      <c r="P73" s="2"/>
    </row>
    <row r="74" spans="1:16" ht="17.25" customHeight="1" x14ac:dyDescent="0.3">
      <c r="A74" s="2"/>
      <c r="B74" s="21" t="s">
        <v>56</v>
      </c>
      <c r="C74" s="45">
        <f>15.958364+16.891212</f>
        <v>32.849576</v>
      </c>
      <c r="D74" s="45">
        <v>15.791784</v>
      </c>
      <c r="E74" s="45">
        <f>16.008338+9.953154999999999+9.953154999999999+9.953154999999999</f>
        <v>45.867802999999995</v>
      </c>
      <c r="F74" s="45">
        <f>0.8245709999999999+16.208234+9.953154999999999+8.329+36.356085</f>
        <v>71.67104499999999</v>
      </c>
      <c r="G74" s="45">
        <f>9.953154999999999+16.008338+9.953154999999999</f>
        <v>35.914648</v>
      </c>
      <c r="H74" s="45">
        <f>9.953154999999999+16.083298999999997+35.798041999999995+29.934426+16.416459</f>
        <v>108.18538099999998</v>
      </c>
      <c r="I74" s="45">
        <f>9.953154999999999+218.66123699999997+4.980742+16.658+9.953154999999999+66.632+7.4877709999999995</f>
        <v>334.32606</v>
      </c>
      <c r="J74" s="45">
        <f>44.56015*1.6658+7.7209829999999995+1.6658+16.224892+9.953154999999999+164.24787999999998+7.646021999999999+9.953154999999999+7.471113</f>
        <v>314.00329999999997</v>
      </c>
      <c r="K74" s="45">
        <v>0</v>
      </c>
      <c r="L74" s="45">
        <v>0</v>
      </c>
      <c r="M74" s="45">
        <v>0</v>
      </c>
      <c r="N74" s="45">
        <v>0</v>
      </c>
      <c r="O74" s="53">
        <f>SUM(C74:N74)</f>
        <v>958.6095969999998</v>
      </c>
      <c r="P74" s="2"/>
    </row>
    <row r="75" spans="1:16" ht="17.25" customHeight="1" x14ac:dyDescent="0.3">
      <c r="A75" s="2"/>
      <c r="B75" s="21" t="s">
        <v>57</v>
      </c>
      <c r="C75" s="45">
        <f>51.47322+123.68565</f>
        <v>175.15887</v>
      </c>
      <c r="D75" s="45">
        <v>0</v>
      </c>
      <c r="E75" s="45">
        <v>0</v>
      </c>
      <c r="F75" s="45">
        <v>0</v>
      </c>
      <c r="G75" s="45">
        <f>17.024476+21.647070999999997+32.4831</f>
        <v>71.154647</v>
      </c>
      <c r="H75" s="45">
        <f>16.658+187.4025</f>
        <v>204.0605</v>
      </c>
      <c r="I75" s="45">
        <f>24.145770999999996+41.061969999999995+29.934426+2.906821+13.368045</f>
        <v>111.41703299999998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53">
        <f>SUM(C75:N75)</f>
        <v>561.7910499999999</v>
      </c>
      <c r="P75" s="2"/>
    </row>
    <row r="76" spans="1:16" ht="17.25" customHeight="1" x14ac:dyDescent="0.3">
      <c r="A76" s="2"/>
      <c r="B76" s="21" t="s">
        <v>58</v>
      </c>
      <c r="C76" s="45">
        <v>111.10886</v>
      </c>
      <c r="D76" s="45">
        <v>0</v>
      </c>
      <c r="E76" s="45">
        <v>0</v>
      </c>
      <c r="F76" s="45">
        <v>441.70935829999996</v>
      </c>
      <c r="G76" s="45">
        <v>0</v>
      </c>
      <c r="H76" s="45">
        <f>24.937026+38.47998+19.82302+0.8329+3.6647600000000002+4.1645+13.3264+14.9922+1.8823539999999999+1.699116+6.74649+21.90527+5.33056+9.9948+28.468522+4.58095+20.181167+0.37746195099999996+15.533584999999999+1.299324+1.9156699999999998+9.328479999999999+10.786055+1.374285+6.588239</f>
        <v>268.21311495099997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53">
        <f>SUM(C76:N76)</f>
        <v>821.031333251</v>
      </c>
      <c r="P76" s="2"/>
    </row>
    <row r="77" spans="1:16" ht="17.25" customHeight="1" x14ac:dyDescent="0.3">
      <c r="A77" s="2"/>
      <c r="B77" s="21" t="s">
        <v>59</v>
      </c>
      <c r="C77" s="45">
        <f>49.965671</f>
        <v>49.965671</v>
      </c>
      <c r="D77" s="45">
        <v>0</v>
      </c>
      <c r="E77" s="45">
        <f>47.466971+34.9818</f>
        <v>82.44877100000001</v>
      </c>
      <c r="F77" s="45">
        <v>37.913608</v>
      </c>
      <c r="G77" s="45">
        <v>11.568981</v>
      </c>
      <c r="H77" s="45">
        <f>22.971382+16.658+0.4747529999999999</f>
        <v>40.104135</v>
      </c>
      <c r="I77" s="45">
        <v>11.652270999999999</v>
      </c>
      <c r="J77" s="45">
        <v>51.631471</v>
      </c>
      <c r="K77" s="45">
        <v>0</v>
      </c>
      <c r="L77" s="45">
        <v>0</v>
      </c>
      <c r="M77" s="45">
        <v>0</v>
      </c>
      <c r="N77" s="45">
        <v>0</v>
      </c>
      <c r="O77" s="53">
        <f>SUM(C77:N77)</f>
        <v>285.28490800000003</v>
      </c>
      <c r="P77" s="2"/>
    </row>
    <row r="78" spans="1:16" ht="17.25" customHeight="1" x14ac:dyDescent="0.3">
      <c r="A78" s="2"/>
      <c r="B78" s="13"/>
      <c r="C78" s="59">
        <f t="shared" ref="C78:O78" si="10">SUM(C73:C77)</f>
        <v>369.08297699999997</v>
      </c>
      <c r="D78" s="59">
        <f t="shared" si="10"/>
        <v>107.24420399999998</v>
      </c>
      <c r="E78" s="59">
        <f t="shared" si="10"/>
        <v>128.316574</v>
      </c>
      <c r="F78" s="59">
        <f t="shared" si="10"/>
        <v>650.7006263</v>
      </c>
      <c r="G78" s="59">
        <f t="shared" si="10"/>
        <v>148.62267599999998</v>
      </c>
      <c r="H78" s="59">
        <f>SUM(H73:H77)</f>
        <v>642.2185309509999</v>
      </c>
      <c r="I78" s="59">
        <f t="shared" si="10"/>
        <v>473.72020399999997</v>
      </c>
      <c r="J78" s="59">
        <f t="shared" si="10"/>
        <v>418.107471</v>
      </c>
      <c r="K78" s="59">
        <f t="shared" si="10"/>
        <v>0</v>
      </c>
      <c r="L78" s="59">
        <f t="shared" si="10"/>
        <v>0</v>
      </c>
      <c r="M78" s="59">
        <f t="shared" si="10"/>
        <v>0</v>
      </c>
      <c r="N78" s="59">
        <f t="shared" si="10"/>
        <v>0</v>
      </c>
      <c r="O78" s="59">
        <f t="shared" si="10"/>
        <v>2938.013263251</v>
      </c>
      <c r="P78" s="2"/>
    </row>
    <row r="79" spans="1:16" ht="17.25" customHeight="1" x14ac:dyDescent="0.3">
      <c r="A79" s="2"/>
      <c r="B79" s="12" t="s">
        <v>60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6"/>
      <c r="P79" s="2"/>
    </row>
    <row r="80" spans="1:16" ht="17.25" customHeight="1" x14ac:dyDescent="0.3">
      <c r="A80" s="2"/>
      <c r="B80" s="21" t="s">
        <v>61</v>
      </c>
      <c r="C80" s="45">
        <v>49.1411</v>
      </c>
      <c r="D80" s="45">
        <v>24.1541</v>
      </c>
      <c r="E80" s="45">
        <v>0</v>
      </c>
      <c r="F80" s="45">
        <v>24.1541</v>
      </c>
      <c r="G80" s="45">
        <v>24.1541</v>
      </c>
      <c r="H80" s="45">
        <v>24.1541</v>
      </c>
      <c r="I80" s="45">
        <v>24.1541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53">
        <f t="shared" ref="O80:O85" si="11">SUM(C80:N80)</f>
        <v>169.9116</v>
      </c>
      <c r="P80" s="2"/>
    </row>
    <row r="81" spans="1:16" ht="17.25" customHeight="1" x14ac:dyDescent="0.3">
      <c r="A81" s="2"/>
      <c r="B81" s="21" t="s">
        <v>62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10.402921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53">
        <f t="shared" si="11"/>
        <v>10.402921</v>
      </c>
      <c r="P81" s="2"/>
    </row>
    <row r="82" spans="1:16" ht="17.25" customHeight="1" x14ac:dyDescent="0.3">
      <c r="A82" s="2"/>
      <c r="B82" s="21" t="s">
        <v>63</v>
      </c>
      <c r="C82" s="45">
        <v>7.4961</v>
      </c>
      <c r="D82" s="45">
        <v>49.89071</v>
      </c>
      <c r="E82" s="45">
        <v>7.4961</v>
      </c>
      <c r="F82" s="45">
        <v>7.4961</v>
      </c>
      <c r="G82" s="45">
        <v>49.89071</v>
      </c>
      <c r="H82" s="45">
        <f>4.9974+7.4961</f>
        <v>12.4935</v>
      </c>
      <c r="I82" s="45">
        <f>4.9974+8.329</f>
        <v>13.3264</v>
      </c>
      <c r="J82" s="45">
        <v>7.4961</v>
      </c>
      <c r="K82" s="45">
        <v>0</v>
      </c>
      <c r="L82" s="45">
        <v>0</v>
      </c>
      <c r="M82" s="45">
        <v>0</v>
      </c>
      <c r="N82" s="45">
        <v>0</v>
      </c>
      <c r="O82" s="53">
        <f t="shared" si="11"/>
        <v>155.58572</v>
      </c>
      <c r="P82" s="2"/>
    </row>
    <row r="83" spans="1:16" ht="17.25" customHeight="1" x14ac:dyDescent="0.3">
      <c r="A83" s="2"/>
      <c r="B83" s="21" t="s">
        <v>64</v>
      </c>
      <c r="C83" s="45">
        <f>35.714752000000004+9.486731+45.784513+27.085908000000003+348.976771+23.621043999999998</f>
        <v>490.669719</v>
      </c>
      <c r="D83" s="45">
        <f>29.1515+8.320670999999999+5.41385</f>
        <v>42.886021</v>
      </c>
      <c r="E83" s="45">
        <f>27.40241+63.56692799999999+23.304541999999998+14.250919</f>
        <v>128.524799</v>
      </c>
      <c r="F83" s="45">
        <f>16.924528+345.336998+36.356085+367.017385</f>
        <v>765.634996</v>
      </c>
      <c r="G83" s="45">
        <v>0</v>
      </c>
      <c r="H83" s="45">
        <f>1.490891+10.786055</f>
        <v>12.276945999999999</v>
      </c>
      <c r="I83" s="45">
        <v>0</v>
      </c>
      <c r="J83" s="45">
        <v>39.770975</v>
      </c>
      <c r="K83" s="45">
        <v>0</v>
      </c>
      <c r="L83" s="45">
        <v>0</v>
      </c>
      <c r="M83" s="45">
        <v>0</v>
      </c>
      <c r="N83" s="45">
        <v>0</v>
      </c>
      <c r="O83" s="53">
        <f t="shared" si="11"/>
        <v>1479.7634560000001</v>
      </c>
      <c r="P83" s="2"/>
    </row>
    <row r="84" spans="1:16" ht="17.25" customHeight="1" x14ac:dyDescent="0.3">
      <c r="A84" s="2"/>
      <c r="B84" s="21" t="s">
        <v>65</v>
      </c>
      <c r="C84" s="45">
        <f>22.621564-12.485171</f>
        <v>10.136393</v>
      </c>
      <c r="D84" s="45">
        <v>0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23.970862</v>
      </c>
      <c r="K84" s="45">
        <v>0</v>
      </c>
      <c r="L84" s="45">
        <v>0</v>
      </c>
      <c r="M84" s="45">
        <v>0</v>
      </c>
      <c r="N84" s="45">
        <v>0</v>
      </c>
      <c r="O84" s="53">
        <f t="shared" si="11"/>
        <v>34.107255</v>
      </c>
      <c r="P84" s="2"/>
    </row>
    <row r="85" spans="1:16" ht="17.25" customHeight="1" x14ac:dyDescent="0.3">
      <c r="A85" s="2"/>
      <c r="B85" s="21" t="s">
        <v>25</v>
      </c>
      <c r="C85" s="45">
        <v>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53">
        <f t="shared" si="11"/>
        <v>0</v>
      </c>
      <c r="P85" s="2"/>
    </row>
    <row r="86" spans="1:16" ht="17.25" customHeight="1" x14ac:dyDescent="0.3">
      <c r="A86" s="2"/>
      <c r="B86" s="13"/>
      <c r="C86" s="59">
        <f t="shared" ref="C86:O86" si="12">SUM(C80:C85)</f>
        <v>557.443312</v>
      </c>
      <c r="D86" s="59">
        <f t="shared" si="12"/>
        <v>116.93083100000001</v>
      </c>
      <c r="E86" s="59">
        <f t="shared" si="12"/>
        <v>136.020899</v>
      </c>
      <c r="F86" s="59">
        <f t="shared" si="12"/>
        <v>797.2851959999999</v>
      </c>
      <c r="G86" s="59">
        <f t="shared" si="12"/>
        <v>74.04481</v>
      </c>
      <c r="H86" s="59">
        <f t="shared" si="12"/>
        <v>48.92454599999999</v>
      </c>
      <c r="I86" s="59">
        <f t="shared" si="12"/>
        <v>47.883421</v>
      </c>
      <c r="J86" s="59">
        <f t="shared" si="12"/>
        <v>71.237937</v>
      </c>
      <c r="K86" s="59">
        <f t="shared" si="12"/>
        <v>0</v>
      </c>
      <c r="L86" s="59">
        <f t="shared" si="12"/>
        <v>0</v>
      </c>
      <c r="M86" s="59">
        <f t="shared" si="12"/>
        <v>0</v>
      </c>
      <c r="N86" s="59">
        <f t="shared" si="12"/>
        <v>0</v>
      </c>
      <c r="O86" s="59">
        <f t="shared" si="12"/>
        <v>1849.770952</v>
      </c>
      <c r="P86" s="2"/>
    </row>
    <row r="87" spans="1:16" ht="17.25" customHeight="1" x14ac:dyDescent="0.3">
      <c r="A87" s="2"/>
      <c r="B87" s="12" t="s">
        <v>25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6"/>
      <c r="P87" s="2"/>
    </row>
    <row r="88" spans="1:16" ht="17.25" customHeight="1" x14ac:dyDescent="0.3">
      <c r="A88" s="2"/>
      <c r="B88" s="21" t="s">
        <v>66</v>
      </c>
      <c r="C88" s="45">
        <v>0</v>
      </c>
      <c r="D88" s="45">
        <v>0</v>
      </c>
      <c r="E88" s="45">
        <v>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v>0</v>
      </c>
      <c r="O88" s="53">
        <f>SUM(C88:N88)</f>
        <v>0</v>
      </c>
      <c r="P88" s="2"/>
    </row>
    <row r="89" spans="1:16" ht="17.25" customHeight="1" x14ac:dyDescent="0.3">
      <c r="A89" s="2"/>
      <c r="B89" s="21" t="s">
        <v>67</v>
      </c>
      <c r="C89" s="45">
        <v>0</v>
      </c>
      <c r="D89" s="45">
        <f>3.9979199999999997+1.6658+5.99688</f>
        <v>11.660599999999999</v>
      </c>
      <c r="E89" s="45">
        <v>74.961</v>
      </c>
      <c r="F89" s="45">
        <v>0</v>
      </c>
      <c r="G89" s="45">
        <v>0</v>
      </c>
      <c r="H89" s="45">
        <f>0.08329</f>
        <v>0.08329</v>
      </c>
      <c r="I89" s="45">
        <f>0.08329+0.08329+4.5476339999999995+2.2571589999999997</f>
        <v>6.971373000000001</v>
      </c>
      <c r="J89" s="45">
        <v>0</v>
      </c>
      <c r="K89" s="45">
        <v>0</v>
      </c>
      <c r="L89" s="45">
        <v>0</v>
      </c>
      <c r="M89" s="45">
        <v>0</v>
      </c>
      <c r="N89" s="45">
        <v>0</v>
      </c>
      <c r="O89" s="53">
        <f>SUM(C89:N89)</f>
        <v>93.67626299999999</v>
      </c>
      <c r="P89" s="2"/>
    </row>
    <row r="90" spans="1:16" ht="17.25" customHeight="1" x14ac:dyDescent="0.3">
      <c r="A90" s="2"/>
      <c r="B90" s="21" t="s">
        <v>25</v>
      </c>
      <c r="C90" s="45">
        <v>6.971372999999999</v>
      </c>
      <c r="D90" s="45">
        <v>0</v>
      </c>
      <c r="E90" s="45">
        <v>0</v>
      </c>
      <c r="F90" s="45">
        <v>11.868825</v>
      </c>
      <c r="G90" s="45">
        <v>1.024467</v>
      </c>
      <c r="H90" s="45">
        <v>12.118695</v>
      </c>
      <c r="I90" s="45">
        <v>2.8152019999999998</v>
      </c>
      <c r="J90" s="45">
        <f>0.08329+0.49973999999999996</f>
        <v>0.5830299999999999</v>
      </c>
      <c r="K90" s="45">
        <v>0</v>
      </c>
      <c r="L90" s="45">
        <v>0</v>
      </c>
      <c r="M90" s="45">
        <v>0</v>
      </c>
      <c r="N90" s="45">
        <v>0</v>
      </c>
      <c r="O90" s="53">
        <f>SUM(C90:N90)</f>
        <v>35.381592000000005</v>
      </c>
      <c r="P90" s="2"/>
    </row>
    <row r="91" spans="1:16" ht="17.25" customHeight="1" x14ac:dyDescent="0.3">
      <c r="A91" s="2"/>
      <c r="B91" s="13"/>
      <c r="C91" s="59">
        <f t="shared" ref="C91:O91" si="13">SUM(C88:C90)</f>
        <v>6.971372999999999</v>
      </c>
      <c r="D91" s="59">
        <f t="shared" si="13"/>
        <v>11.660599999999999</v>
      </c>
      <c r="E91" s="59">
        <f t="shared" si="13"/>
        <v>74.961</v>
      </c>
      <c r="F91" s="59">
        <f t="shared" si="13"/>
        <v>11.868825</v>
      </c>
      <c r="G91" s="59">
        <f t="shared" si="13"/>
        <v>1.024467</v>
      </c>
      <c r="H91" s="59">
        <f t="shared" si="13"/>
        <v>12.201985</v>
      </c>
      <c r="I91" s="59">
        <f t="shared" si="13"/>
        <v>9.786575</v>
      </c>
      <c r="J91" s="59">
        <f t="shared" si="13"/>
        <v>0.5830299999999999</v>
      </c>
      <c r="K91" s="59">
        <f t="shared" si="13"/>
        <v>0</v>
      </c>
      <c r="L91" s="59">
        <f t="shared" si="13"/>
        <v>0</v>
      </c>
      <c r="M91" s="59">
        <f t="shared" si="13"/>
        <v>0</v>
      </c>
      <c r="N91" s="59">
        <f t="shared" si="13"/>
        <v>0</v>
      </c>
      <c r="O91" s="59">
        <f t="shared" si="13"/>
        <v>129.057855</v>
      </c>
      <c r="P91" s="2"/>
    </row>
    <row r="92" spans="1:16" ht="17.25" customHeight="1" x14ac:dyDescent="0.3">
      <c r="A92" s="2"/>
      <c r="B92" s="26" t="s">
        <v>26</v>
      </c>
      <c r="C92" s="60">
        <f t="shared" ref="C92:N92" si="14">C91+C86+C78+C71+C66+C59+C51</f>
        <v>995.940175</v>
      </c>
      <c r="D92" s="60">
        <f t="shared" si="14"/>
        <v>608.091961</v>
      </c>
      <c r="E92" s="60">
        <f t="shared" si="14"/>
        <v>541.976359</v>
      </c>
      <c r="F92" s="60">
        <f t="shared" si="14"/>
        <v>1505.0727883</v>
      </c>
      <c r="G92" s="60">
        <f t="shared" si="14"/>
        <v>244.51445299999997</v>
      </c>
      <c r="H92" s="60">
        <f t="shared" si="14"/>
        <v>919.0411749509999</v>
      </c>
      <c r="I92" s="60">
        <f t="shared" si="14"/>
        <v>757.147745</v>
      </c>
      <c r="J92" s="60">
        <f t="shared" si="14"/>
        <v>1157.522775</v>
      </c>
      <c r="K92" s="60">
        <f t="shared" si="14"/>
        <v>0</v>
      </c>
      <c r="L92" s="60">
        <f t="shared" si="14"/>
        <v>0</v>
      </c>
      <c r="M92" s="60">
        <f t="shared" si="14"/>
        <v>0</v>
      </c>
      <c r="N92" s="60">
        <f t="shared" si="14"/>
        <v>0</v>
      </c>
      <c r="O92" s="60">
        <f>SUM(O86,O78,O71,O66,O59,O51,O91)</f>
        <v>6729.307431251</v>
      </c>
      <c r="P92" s="69"/>
    </row>
    <row r="93" spans="1:16" ht="17.25" customHeight="1" x14ac:dyDescent="0.3">
      <c r="A93" s="2"/>
      <c r="B93" s="35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2"/>
    </row>
    <row r="94" spans="1:16" x14ac:dyDescent="0.25">
      <c r="B94" s="35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</row>
    <row r="95" spans="1:16" x14ac:dyDescent="0.25">
      <c r="B95" s="36" t="s">
        <v>68</v>
      </c>
      <c r="C95" s="63" t="s">
        <v>69</v>
      </c>
      <c r="D95" s="63" t="s">
        <v>69</v>
      </c>
      <c r="E95" s="63" t="s">
        <v>69</v>
      </c>
      <c r="F95" s="62">
        <f>345.336998+37.913608+9.553363000000001+299.002771-33.857385+63.300399999999996</f>
        <v>721.249755</v>
      </c>
      <c r="G95" s="62">
        <f>G30-G41-G92+F95</f>
        <v>1228.86066</v>
      </c>
      <c r="H95" s="62">
        <f t="shared" ref="H95:O95" si="15">H30-H41-H92+G95</f>
        <v>907.403912809</v>
      </c>
      <c r="I95" s="62">
        <f t="shared" si="15"/>
        <v>646.023234809</v>
      </c>
      <c r="J95" s="62">
        <f>J30-J41-J92+I95</f>
        <v>163.23274980899993</v>
      </c>
      <c r="K95" s="62">
        <f t="shared" si="15"/>
        <v>1329.2927498089998</v>
      </c>
      <c r="L95" s="62">
        <f t="shared" si="15"/>
        <v>2495.3527498089998</v>
      </c>
      <c r="M95" s="62">
        <f t="shared" si="15"/>
        <v>3661.4127498089997</v>
      </c>
      <c r="N95" s="62">
        <f t="shared" si="15"/>
        <v>4827.472749809</v>
      </c>
      <c r="O95" s="62">
        <f t="shared" si="15"/>
        <v>8662.231146318</v>
      </c>
    </row>
    <row r="96" spans="1:16" x14ac:dyDescent="0.25">
      <c r="H96" s="65"/>
    </row>
  </sheetData>
  <mergeCells count="9">
    <mergeCell ref="H8:I8"/>
    <mergeCell ref="F8:G8"/>
    <mergeCell ref="F4:G4"/>
    <mergeCell ref="H6:I6"/>
    <mergeCell ref="F3:I3"/>
    <mergeCell ref="F5:G5"/>
    <mergeCell ref="F6:G6"/>
    <mergeCell ref="H5:I5"/>
    <mergeCell ref="H4:I4"/>
  </mergeCells>
  <phoneticPr fontId="6" type="noConversion"/>
  <pageMargins left="0.25" right="0.25" top="0.25" bottom="0.25" header="0" footer="0"/>
  <pageSetup scale="43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Personal Budget</vt:lpstr>
      <vt:lpstr>'Personal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MoneyMap fixture</dc:creator>
  <cp:lastModifiedBy>MoneyMap fixture</cp:lastModifiedBy>
  <cp:lastPrinted>2020-01-01T00:00:00Z</cp:lastPrinted>
  <dcterms:created xsi:type="dcterms:W3CDTF">2020-01-01T00:00:00Z</dcterms:created>
  <dcterms:modified xsi:type="dcterms:W3CDTF">2020-01-01T00:00:00Z</dcterms:modified>
</cp:coreProperties>
</file>