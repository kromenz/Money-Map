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/>
  </mc:AlternateContent>
  <xr:revisionPtr revIDLastSave="0" documentId="13_ncr:1_{23E88E32-3F52-4E98-8F03-F422195E993D}" xr6:coauthVersionLast="47" xr6:coauthVersionMax="47" xr10:uidLastSave="{00000000-0000-0000-0000-000000000000}"/>
  <bookViews>
    <workbookView xWindow="-120" yWindow="-120" windowWidth="38640" windowHeight="21840" tabRatio="500" xr2:uid="{00000000-000D-0000-FFFF-FFFF00000000}"/>
  </bookViews>
  <sheets>
    <sheet name="Personal Budget" sheetId="1" r:id="rId1"/>
  </sheets>
  <externalReferences>
    <externalReference r:id="rId2"/>
  </externalReferences>
  <definedNames>
    <definedName name="_xlnm.Print_Area" localSheetId="0">'Personal Budget'!$A$2:$O$91</definedName>
    <definedName name="Type">'[1]Maintenance Work Order'!#REF!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80" i="1" l="1"/>
  <c r="O80" i="1" s="1"/>
  <c r="M29" i="1"/>
  <c r="M21" i="1"/>
  <c r="N82" i="1"/>
  <c r="O82" i="1"/>
  <c r="N21" i="1"/>
  <c r="N29" i="1"/>
  <c r="N72" i="1"/>
  <c r="O72" i="1" s="1"/>
  <c r="N85" i="1"/>
  <c r="N75" i="1"/>
  <c r="O75" i="1" s="1"/>
  <c r="M76" i="1"/>
  <c r="M88" i="1"/>
  <c r="M90" i="1" s="1"/>
  <c r="M69" i="1"/>
  <c r="M79" i="1"/>
  <c r="M83" i="1"/>
  <c r="M85" i="1" s="1"/>
  <c r="M81" i="1"/>
  <c r="O81" i="1" s="1"/>
  <c r="O73" i="1"/>
  <c r="O74" i="1"/>
  <c r="O84" i="1"/>
  <c r="D90" i="1"/>
  <c r="E90" i="1"/>
  <c r="F90" i="1"/>
  <c r="G90" i="1"/>
  <c r="H90" i="1"/>
  <c r="I90" i="1"/>
  <c r="J90" i="1"/>
  <c r="K90" i="1"/>
  <c r="L90" i="1"/>
  <c r="N90" i="1"/>
  <c r="C90" i="1"/>
  <c r="O89" i="1"/>
  <c r="O87" i="1"/>
  <c r="L85" i="1"/>
  <c r="K85" i="1"/>
  <c r="J85" i="1"/>
  <c r="I85" i="1"/>
  <c r="H85" i="1"/>
  <c r="G85" i="1"/>
  <c r="F85" i="1"/>
  <c r="E85" i="1"/>
  <c r="D85" i="1"/>
  <c r="C85" i="1"/>
  <c r="O88" i="1" l="1"/>
  <c r="O83" i="1"/>
  <c r="O90" i="1"/>
  <c r="O79" i="1"/>
  <c r="O85" i="1" s="1"/>
  <c r="O76" i="1"/>
  <c r="O67" i="1"/>
  <c r="O68" i="1"/>
  <c r="O69" i="1"/>
  <c r="O60" i="1"/>
  <c r="O61" i="1"/>
  <c r="O62" i="1"/>
  <c r="O63" i="1"/>
  <c r="O64" i="1"/>
  <c r="O52" i="1"/>
  <c r="O53" i="1"/>
  <c r="O54" i="1"/>
  <c r="O55" i="1"/>
  <c r="O56" i="1"/>
  <c r="O57" i="1"/>
  <c r="O44" i="1"/>
  <c r="O45" i="1"/>
  <c r="O46" i="1"/>
  <c r="O47" i="1"/>
  <c r="O48" i="1"/>
  <c r="O49" i="1"/>
  <c r="C40" i="1"/>
  <c r="D40" i="1"/>
  <c r="E40" i="1"/>
  <c r="F40" i="1"/>
  <c r="G40" i="1"/>
  <c r="H40" i="1"/>
  <c r="I40" i="1"/>
  <c r="J40" i="1"/>
  <c r="K40" i="1"/>
  <c r="L40" i="1"/>
  <c r="M40" i="1"/>
  <c r="N40" i="1"/>
  <c r="C29" i="1"/>
  <c r="D29" i="1"/>
  <c r="E29" i="1"/>
  <c r="F29" i="1"/>
  <c r="G29" i="1"/>
  <c r="H29" i="1"/>
  <c r="I29" i="1"/>
  <c r="J29" i="1"/>
  <c r="K29" i="1"/>
  <c r="L29" i="1"/>
  <c r="O29" i="1"/>
  <c r="O21" i="1"/>
  <c r="O22" i="1"/>
  <c r="O23" i="1"/>
  <c r="O24" i="1"/>
  <c r="O25" i="1"/>
  <c r="O26" i="1"/>
  <c r="O27" i="1"/>
  <c r="O33" i="1"/>
  <c r="O34" i="1"/>
  <c r="O35" i="1"/>
  <c r="O36" i="1"/>
  <c r="O37" i="1"/>
  <c r="O38" i="1"/>
  <c r="C50" i="1"/>
  <c r="D50" i="1"/>
  <c r="E50" i="1"/>
  <c r="F50" i="1"/>
  <c r="G50" i="1"/>
  <c r="H50" i="1"/>
  <c r="I50" i="1"/>
  <c r="J50" i="1"/>
  <c r="K50" i="1"/>
  <c r="L50" i="1"/>
  <c r="M50" i="1"/>
  <c r="N50" i="1"/>
  <c r="C58" i="1"/>
  <c r="D58" i="1"/>
  <c r="E58" i="1"/>
  <c r="F58" i="1"/>
  <c r="G58" i="1"/>
  <c r="H58" i="1"/>
  <c r="I58" i="1"/>
  <c r="J58" i="1"/>
  <c r="K58" i="1"/>
  <c r="L58" i="1"/>
  <c r="M58" i="1"/>
  <c r="N58" i="1"/>
  <c r="C65" i="1"/>
  <c r="D65" i="1"/>
  <c r="E65" i="1"/>
  <c r="F65" i="1"/>
  <c r="G65" i="1"/>
  <c r="H65" i="1"/>
  <c r="I65" i="1"/>
  <c r="J65" i="1"/>
  <c r="K65" i="1"/>
  <c r="L65" i="1"/>
  <c r="M65" i="1"/>
  <c r="N65" i="1"/>
  <c r="C70" i="1"/>
  <c r="D70" i="1"/>
  <c r="E70" i="1"/>
  <c r="F70" i="1"/>
  <c r="G70" i="1"/>
  <c r="H70" i="1"/>
  <c r="I70" i="1"/>
  <c r="J70" i="1"/>
  <c r="K70" i="1"/>
  <c r="L70" i="1"/>
  <c r="M70" i="1"/>
  <c r="N70" i="1"/>
  <c r="C77" i="1"/>
  <c r="D77" i="1"/>
  <c r="E77" i="1"/>
  <c r="E91" i="1" s="1"/>
  <c r="F77" i="1"/>
  <c r="F91" i="1" s="1"/>
  <c r="G77" i="1"/>
  <c r="H77" i="1"/>
  <c r="I77" i="1"/>
  <c r="I91" i="1" s="1"/>
  <c r="J77" i="1"/>
  <c r="J91" i="1" s="1"/>
  <c r="K77" i="1"/>
  <c r="K91" i="1" s="1"/>
  <c r="L77" i="1"/>
  <c r="M77" i="1"/>
  <c r="N77" i="1"/>
  <c r="D91" i="1" l="1"/>
  <c r="L91" i="1"/>
  <c r="N91" i="1"/>
  <c r="G91" i="1"/>
  <c r="H91" i="1"/>
  <c r="C91" i="1"/>
  <c r="M91" i="1"/>
  <c r="O70" i="1"/>
  <c r="O65" i="1"/>
  <c r="O40" i="1"/>
  <c r="H5" i="1" s="1"/>
  <c r="O58" i="1"/>
  <c r="H4" i="1"/>
  <c r="O50" i="1"/>
  <c r="O77" i="1"/>
  <c r="O91" i="1" l="1"/>
  <c r="H6" i="1" s="1"/>
  <c r="H8" i="1" s="1"/>
</calcChain>
</file>

<file path=xl/sharedStrings.xml><?xml version="1.0" encoding="utf-8"?>
<sst xmlns="http://schemas.openxmlformats.org/spreadsheetml/2006/main" count="552" uniqueCount="70">
  <si>
    <t>Income</t>
  </si>
  <si>
    <t>JAN</t>
  </si>
  <si>
    <t>FEB</t>
  </si>
  <si>
    <t>MAY</t>
  </si>
  <si>
    <t>SEPT</t>
  </si>
  <si>
    <t>OCT</t>
  </si>
  <si>
    <t>NOV</t>
  </si>
  <si>
    <t>DEC</t>
  </si>
  <si>
    <t>AUG</t>
  </si>
  <si>
    <t>JUL</t>
  </si>
  <si>
    <t>JUN</t>
  </si>
  <si>
    <t>APR</t>
  </si>
  <si>
    <t>MAR</t>
  </si>
  <si>
    <t>Emergency Fund</t>
  </si>
  <si>
    <t>Other</t>
  </si>
  <si>
    <t>Auto Insurance</t>
  </si>
  <si>
    <t>Groceries</t>
  </si>
  <si>
    <t>Health Insurance</t>
  </si>
  <si>
    <t>Savings Goal</t>
  </si>
  <si>
    <t>Expenses</t>
  </si>
  <si>
    <t xml:space="preserve">Enter Income, Savings, and Expense Data, below.  Overview information above will generate automatically. </t>
  </si>
  <si>
    <t>Potential to Save</t>
  </si>
  <si>
    <t>Summary</t>
  </si>
  <si>
    <t>Savings</t>
  </si>
  <si>
    <t>Savings and Investments</t>
  </si>
  <si>
    <t>Retirement Savings</t>
  </si>
  <si>
    <t>College Savings</t>
  </si>
  <si>
    <t>Vacation Savings</t>
  </si>
  <si>
    <t>Annually</t>
  </si>
  <si>
    <t>Monthly Totals</t>
  </si>
  <si>
    <t>Home</t>
  </si>
  <si>
    <t>Mortgage / Rent</t>
  </si>
  <si>
    <t>Home Insurance</t>
  </si>
  <si>
    <t>Property Taxes</t>
  </si>
  <si>
    <t>Home Maintenance and Repairs</t>
  </si>
  <si>
    <t>Utilities (electric, gas, water, etc.)</t>
  </si>
  <si>
    <t>Internet and Streaming Services</t>
  </si>
  <si>
    <t>Transportation</t>
  </si>
  <si>
    <t>Car Payments</t>
  </si>
  <si>
    <t>Fuel / Gasoline</t>
  </si>
  <si>
    <t>Public Transportation / Rideshare</t>
  </si>
  <si>
    <t>Auto Maintenance and Repairs</t>
  </si>
  <si>
    <t>Health</t>
  </si>
  <si>
    <t>Dental / Vision</t>
  </si>
  <si>
    <t>Prescriptions</t>
  </si>
  <si>
    <t>Daily Living</t>
  </si>
  <si>
    <t>Dining Out</t>
  </si>
  <si>
    <t>Entertainment and Subscriptions</t>
  </si>
  <si>
    <t>Hobbies and Recreation</t>
  </si>
  <si>
    <t>Travel / Vacation</t>
  </si>
  <si>
    <t>Entertainment and Recreation</t>
  </si>
  <si>
    <t>Household Supplies</t>
  </si>
  <si>
    <t>Clothing and Shoes</t>
  </si>
  <si>
    <t>Personal and Family</t>
  </si>
  <si>
    <t>Gifts and Celebrations</t>
  </si>
  <si>
    <t>Miscellaneous Expenses</t>
  </si>
  <si>
    <t>Dept Payments (loans, credit cards)</t>
  </si>
  <si>
    <t>Personal Budget Template</t>
  </si>
  <si>
    <t>Salário</t>
  </si>
  <si>
    <t>-</t>
  </si>
  <si>
    <t>Sub. Alimentação</t>
  </si>
  <si>
    <t>IRS</t>
  </si>
  <si>
    <t>Seg. Social</t>
  </si>
  <si>
    <t>CoverFlex</t>
  </si>
  <si>
    <t>Gym</t>
  </si>
  <si>
    <t>Temu</t>
  </si>
  <si>
    <t>Depilação / Cabelo</t>
  </si>
  <si>
    <t>Tecnology</t>
  </si>
  <si>
    <t>Games</t>
  </si>
  <si>
    <t>Fisiotherapy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</si>
</sst>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#,##0.00\ &quot;€&quot;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entury Gothic"/>
      <family val="1"/>
    </font>
    <font>
      <sz val="11"/>
      <color theme="1"/>
      <name val="Century Gothic"/>
      <family val="1"/>
    </font>
    <font>
      <sz val="8"/>
      <name val="Calibri"/>
      <family val="2"/>
      <scheme val="minor"/>
    </font>
    <font>
      <sz val="9"/>
      <color theme="1"/>
      <name val="Century Gothic"/>
      <family val="1"/>
    </font>
    <font>
      <sz val="9"/>
      <color theme="0"/>
      <name val="Century Gothic"/>
      <family val="1"/>
    </font>
    <font>
      <b/>
      <sz val="9"/>
      <color theme="1"/>
      <name val="Century Gothic"/>
      <family val="1"/>
    </font>
    <font>
      <sz val="9"/>
      <color rgb="FF000000"/>
      <name val="Century Gothic"/>
      <family val="1"/>
    </font>
    <font>
      <b/>
      <sz val="11"/>
      <color theme="0"/>
      <name val="Century Gothic"/>
      <family val="1"/>
    </font>
    <font>
      <b/>
      <sz val="22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b/>
      <sz val="9"/>
      <color theme="0"/>
      <name val="Century Gothic"/>
      <family val="1"/>
    </font>
    <font>
      <sz val="20"/>
      <color theme="1" tint="0.34998626667073579"/>
      <name val="Century Gothic"/>
      <family val="1"/>
    </font>
    <font>
      <b/>
      <sz val="11"/>
      <color theme="0"/>
      <name val="Century Gothic"/>
      <family val="2"/>
    </font>
    <font>
      <sz val="10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  <font>
      <i/>
      <sz val="12"/>
      <color theme="1" tint="0.34998626667073579"/>
      <name val="Century Gothic"/>
      <family val="2"/>
    </font>
    <font>
      <sz val="10"/>
      <color rgb="FF000000"/>
      <name val="Century Gothic"/>
      <family val="2"/>
    </font>
    <font>
      <sz val="14"/>
      <color theme="0"/>
      <name val="Century Gothic"/>
      <family val="1"/>
    </font>
    <font>
      <b/>
      <sz val="9"/>
      <color theme="1"/>
      <name val="Century Gothic"/>
      <family val="2"/>
    </font>
    <font>
      <sz val="11"/>
      <color theme="1"/>
      <name val="Century Gothic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EAEEF3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8E9F1"/>
        <bgColor rgb="FFD8E9F1"/>
      </patternFill>
    </fill>
    <fill>
      <patternFill patternType="solid">
        <fgColor rgb="FFD8E9F1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0E6F5"/>
        <bgColor rgb="FFD8E9F1"/>
      </patternFill>
    </fill>
    <fill>
      <patternFill patternType="solid">
        <fgColor rgb="FFEAEEF3"/>
        <bgColor rgb="FFF0F4CE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</borders>
  <cellStyleXfs count="40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3" fillId="0" borderId="0"/>
  </cellStyleXfs>
  <cellXfs count="67">
    <xf numFmtId="0" fontId="0" fillId="0" borderId="0" xfId="0"/>
    <xf numFmtId="0" fontId="0" fillId="2" borderId="0" xfId="0" applyFill="1"/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0" fontId="7" fillId="4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horizontal="left" vertical="center" indent="1"/>
    </xf>
    <xf numFmtId="0" fontId="12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14" fillId="2" borderId="0" xfId="0" applyFont="1" applyFill="1" applyAlignment="1">
      <alignment vertical="center"/>
    </xf>
    <xf numFmtId="0" fontId="9" fillId="10" borderId="0" xfId="0" applyFont="1" applyFill="1" applyAlignment="1">
      <alignment horizontal="left" vertical="center" indent="1"/>
    </xf>
    <xf numFmtId="0" fontId="7" fillId="10" borderId="0" xfId="0" applyFont="1" applyFill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20" fillId="0" borderId="0" xfId="0" applyFont="1" applyAlignment="1">
      <alignment vertical="center"/>
    </xf>
    <xf numFmtId="0" fontId="21" fillId="15" borderId="0" xfId="0" applyFont="1" applyFill="1" applyAlignment="1">
      <alignment horizontal="left" vertical="center" wrapText="1" indent="1"/>
    </xf>
    <xf numFmtId="0" fontId="7" fillId="16" borderId="0" xfId="0" applyFont="1" applyFill="1" applyAlignment="1">
      <alignment horizontal="left" vertical="center" indent="1"/>
    </xf>
    <xf numFmtId="0" fontId="7" fillId="16" borderId="0" xfId="0" applyFont="1" applyFill="1" applyAlignment="1">
      <alignment vertical="center"/>
    </xf>
    <xf numFmtId="0" fontId="22" fillId="9" borderId="0" xfId="0" applyFont="1" applyFill="1" applyAlignment="1">
      <alignment horizontal="left" vertical="center" indent="1"/>
    </xf>
    <xf numFmtId="0" fontId="23" fillId="16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left" vertical="center" indent="1"/>
    </xf>
    <xf numFmtId="0" fontId="21" fillId="18" borderId="0" xfId="0" applyFont="1" applyFill="1" applyAlignment="1">
      <alignment horizontal="left" vertical="center" wrapText="1" indent="1"/>
    </xf>
    <xf numFmtId="0" fontId="21" fillId="19" borderId="0" xfId="0" applyFont="1" applyFill="1" applyAlignment="1">
      <alignment horizontal="left" vertical="center" wrapText="1" indent="1"/>
    </xf>
    <xf numFmtId="0" fontId="22" fillId="7" borderId="0" xfId="0" applyFont="1" applyFill="1" applyAlignment="1">
      <alignment horizontal="left" vertical="center" indent="1"/>
    </xf>
    <xf numFmtId="0" fontId="8" fillId="7" borderId="0" xfId="0" applyFont="1" applyFill="1" applyAlignment="1">
      <alignment horizontal="left" vertical="center"/>
    </xf>
    <xf numFmtId="0" fontId="22" fillId="20" borderId="0" xfId="0" applyFont="1" applyFill="1" applyAlignment="1">
      <alignment horizontal="left" vertical="center" indent="1"/>
    </xf>
    <xf numFmtId="0" fontId="8" fillId="20" borderId="0" xfId="0" applyFont="1" applyFill="1" applyAlignment="1">
      <alignment horizontal="left" vertical="center"/>
    </xf>
    <xf numFmtId="0" fontId="21" fillId="19" borderId="0" xfId="0" applyFont="1" applyFill="1" applyAlignment="1">
      <alignment horizontal="left" indent="1"/>
    </xf>
    <xf numFmtId="0" fontId="15" fillId="20" borderId="0" xfId="0" applyFont="1" applyFill="1" applyAlignment="1">
      <alignment horizontal="left" vertical="center" indent="1"/>
    </xf>
    <xf numFmtId="0" fontId="15" fillId="7" borderId="0" xfId="0" applyFont="1" applyFill="1" applyAlignment="1">
      <alignment horizontal="left" vertical="center" indent="1"/>
    </xf>
    <xf numFmtId="0" fontId="15" fillId="9" borderId="0" xfId="0" applyFont="1" applyFill="1" applyAlignment="1">
      <alignment horizontal="left" vertical="center" indent="1"/>
    </xf>
    <xf numFmtId="0" fontId="19" fillId="14" borderId="2" xfId="0" applyFont="1" applyFill="1" applyBorder="1" applyAlignment="1">
      <alignment horizontal="center" vertical="center"/>
    </xf>
    <xf numFmtId="165" fontId="7" fillId="4" borderId="0" xfId="0" applyNumberFormat="1" applyFont="1" applyFill="1" applyAlignment="1">
      <alignment vertical="center"/>
    </xf>
    <xf numFmtId="165" fontId="7" fillId="16" borderId="0" xfId="0" applyNumberFormat="1" applyFont="1" applyFill="1" applyAlignment="1">
      <alignment vertical="center"/>
    </xf>
    <xf numFmtId="165" fontId="15" fillId="20" borderId="0" xfId="0" applyNumberFormat="1" applyFont="1" applyFill="1" applyAlignment="1">
      <alignment vertical="center"/>
    </xf>
    <xf numFmtId="165" fontId="7" fillId="0" borderId="0" xfId="0" applyNumberFormat="1" applyFont="1" applyAlignment="1">
      <alignment vertical="center"/>
    </xf>
    <xf numFmtId="165" fontId="8" fillId="7" borderId="0" xfId="0" applyNumberFormat="1" applyFont="1" applyFill="1" applyAlignment="1">
      <alignment horizontal="left" vertical="center"/>
    </xf>
    <xf numFmtId="165" fontId="23" fillId="4" borderId="0" xfId="0" applyNumberFormat="1" applyFont="1" applyFill="1" applyAlignment="1">
      <alignment horizontal="center" vertical="center"/>
    </xf>
    <xf numFmtId="165" fontId="15" fillId="7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vertical="center"/>
    </xf>
    <xf numFmtId="165" fontId="8" fillId="9" borderId="0" xfId="0" applyNumberFormat="1" applyFont="1" applyFill="1" applyAlignment="1">
      <alignment horizontal="left" vertical="center"/>
    </xf>
    <xf numFmtId="165" fontId="23" fillId="10" borderId="0" xfId="0" applyNumberFormat="1" applyFont="1" applyFill="1" applyAlignment="1">
      <alignment horizontal="center" vertical="center"/>
    </xf>
    <xf numFmtId="165" fontId="7" fillId="10" borderId="0" xfId="0" applyNumberFormat="1" applyFont="1" applyFill="1" applyAlignment="1">
      <alignment vertical="center"/>
    </xf>
    <xf numFmtId="165" fontId="10" fillId="12" borderId="0" xfId="0" applyNumberFormat="1" applyFont="1" applyFill="1" applyAlignment="1">
      <alignment vertical="center"/>
    </xf>
    <xf numFmtId="165" fontId="7" fillId="13" borderId="0" xfId="0" applyNumberFormat="1" applyFont="1" applyFill="1" applyAlignment="1">
      <alignment vertical="center"/>
    </xf>
    <xf numFmtId="165" fontId="7" fillId="13" borderId="0" xfId="1" applyNumberFormat="1" applyFont="1" applyFill="1" applyBorder="1" applyAlignment="1">
      <alignment vertical="center"/>
    </xf>
    <xf numFmtId="165" fontId="15" fillId="9" borderId="0" xfId="1" applyNumberFormat="1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vertical="center"/>
    </xf>
    <xf numFmtId="165" fontId="15" fillId="7" borderId="0" xfId="1" applyNumberFormat="1" applyFont="1" applyFill="1" applyAlignment="1">
      <alignment vertical="center"/>
    </xf>
    <xf numFmtId="165" fontId="10" fillId="11" borderId="0" xfId="0" applyNumberFormat="1" applyFont="1" applyFill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15" fillId="20" borderId="0" xfId="1" applyNumberFormat="1" applyFont="1" applyFill="1" applyAlignment="1">
      <alignment vertical="center"/>
    </xf>
    <xf numFmtId="165" fontId="7" fillId="2" borderId="1" xfId="1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5" fontId="10" fillId="21" borderId="4" xfId="0" applyNumberFormat="1" applyFont="1" applyFill="1" applyBorder="1" applyAlignment="1">
      <alignment vertical="center"/>
    </xf>
    <xf numFmtId="0" fontId="17" fillId="7" borderId="3" xfId="0" applyFont="1" applyFill="1" applyBorder="1" applyAlignment="1">
      <alignment horizontal="right" vertical="center" indent="1"/>
    </xf>
    <xf numFmtId="0" fontId="17" fillId="3" borderId="3" xfId="0" applyFont="1" applyFill="1" applyBorder="1" applyAlignment="1">
      <alignment horizontal="right" vertical="center" indent="1"/>
    </xf>
    <xf numFmtId="0" fontId="17" fillId="6" borderId="3" xfId="0" applyFont="1" applyFill="1" applyBorder="1" applyAlignment="1">
      <alignment horizontal="right" vertical="center" indent="1"/>
    </xf>
    <xf numFmtId="0" fontId="16" fillId="2" borderId="0" xfId="0" applyFont="1" applyFill="1" applyAlignment="1">
      <alignment horizontal="center" vertical="center"/>
    </xf>
    <xf numFmtId="0" fontId="11" fillId="8" borderId="3" xfId="0" applyFont="1" applyFill="1" applyBorder="1" applyAlignment="1">
      <alignment horizontal="right" vertical="center" wrapText="1" indent="1"/>
    </xf>
    <xf numFmtId="165" fontId="24" fillId="5" borderId="3" xfId="0" applyNumberFormat="1" applyFont="1" applyFill="1" applyBorder="1" applyAlignment="1">
      <alignment horizontal="center" vertical="center"/>
    </xf>
    <xf numFmtId="165" fontId="5" fillId="14" borderId="3" xfId="0" applyNumberFormat="1" applyFont="1" applyFill="1" applyBorder="1" applyAlignment="1">
      <alignment horizontal="center" vertical="center"/>
    </xf>
  </cellXfs>
  <cellStyles count="40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2" xfId="39" xr:uid="{00000000-0005-0000-0000-000027000000}"/>
  </cellStyles>
  <dxfs count="0"/>
  <tableStyles count="0" defaultTableStyle="TableStyleMedium9" defaultPivotStyle="PivotStyleMedium4"/>
  <colors>
    <mruColors>
      <color rgb="FFEAEEF3"/>
      <color rgb="FFC0E6F5"/>
      <color rgb="FFD8E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434936028038599"/>
          <c:y val="1.11489501312336E-2"/>
          <c:w val="0.66151563554555703"/>
          <c:h val="0.96471030183727002"/>
        </c:manualLayout>
      </c:layout>
      <c:doughnutChart>
        <c:varyColors val="1"/>
        <c:ser>
          <c:idx val="0"/>
          <c:order val="0"/>
          <c:spPr>
            <a:solidFill>
              <a:schemeClr val="accent3"/>
            </a:solidFill>
          </c:spPr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7C90-E144-BECD-30D9E7191626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7C90-E144-BECD-30D9E71916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chemeClr val="bg1"/>
                    </a:solidFill>
                    <a:latin typeface="Century Gothic" charset="0"/>
                    <a:ea typeface="Century Gothic" charset="0"/>
                    <a:cs typeface="Century Gothic" charset="0"/>
                  </a:defRPr>
                </a:pPr>
                <a:endParaRPr lang="pt-PT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'Personal Budget'!$F$4:$G$6</c:f>
              <c:strCache>
                <c:ptCount val="3"/>
                <c:pt idx="0">
                  <c:v>Income</c:v>
                </c:pt>
                <c:pt idx="1">
                  <c:v>Savings Goal</c:v>
                </c:pt>
                <c:pt idx="2">
                  <c:v>Expenses</c:v>
                </c:pt>
              </c:strCache>
            </c:strRef>
          </c:cat>
          <c:val>
            <c:numRef>
              <c:f>'Personal Budget'!$H$4:$H$6</c:f>
              <c:numCache>
                <c:formatCode>#\ ##0.00\ "€"</c:formatCode>
                <c:ptCount val="3"/>
                <c:pt idx="0">
                  <c:v>2838.972966</c:v>
                </c:pt>
                <c:pt idx="1">
                  <c:v>1166.06</c:v>
                </c:pt>
                <c:pt idx="2">
                  <c:v>1669.6979719999997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90-E144-BECD-30D9E7191626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22"/>
      </c:doughnutChart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3862160137136"/>
          <c:y val="8.6337923322170704E-2"/>
          <c:w val="0.80335992413881296"/>
          <c:h val="0.738094018976612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'Personal Budget'!$F$4</c:f>
              <c:strCache>
                <c:ptCount val="1"/>
                <c:pt idx="0">
                  <c:v>Income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>
                    <a:solidFill>
                      <a:schemeClr val="bg1"/>
                    </a:solidFill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'Personal Budget'!$H$4</c:f>
              <c:numCache>
                <c:formatCode>#\ ##0.00\ "€"</c:formatCode>
                <c:ptCount val="1"/>
                <c:pt idx="0">
                  <c:v>2838.972966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F-3845-9114-5D233C7C39FE}"/>
            </c:ext>
          </c:extLst>
        </c:ser>
        <c:ser>
          <c:idx val="1"/>
          <c:order val="1"/>
          <c:tx>
            <c:strRef>
              <c:f>'Personal Budget'!$F$6</c:f>
              <c:strCache>
                <c:ptCount val="1"/>
                <c:pt idx="0">
                  <c:v>Expenses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>
                    <a:solidFill>
                      <a:schemeClr val="bg1"/>
                    </a:solidFill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'Personal Budget'!$H$6</c:f>
              <c:numCache>
                <c:formatCode>#\ ##0.00\ "€"</c:formatCode>
                <c:ptCount val="1"/>
                <c:pt idx="0">
                  <c:v>1669.6979719999997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F-3845-9114-5D233C7C39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2"/>
        <c:overlap val="100"/>
        <c:axId val="-1190915488"/>
        <c:axId val="-839073696"/>
      </c:barChart>
      <c:catAx>
        <c:axId val="-1190915488"/>
        <c:scaling>
          <c:orientation val="minMax"/>
        </c:scaling>
        <c:delete val="1"/>
        <c:axPos val="b"/>
        <c:majorTickMark val="none"/>
        <c:minorTickMark val="none"/>
        <c:tickLblPos val="nextTo"/>
        <c:crossAx val="-839073696"/>
        <c:crosses val="autoZero"/>
        <c:auto val="1"/>
        <c:lblAlgn val="ctr"/>
        <c:lblOffset val="100"/>
        <c:noMultiLvlLbl val="0"/>
      </c:catAx>
      <c:valAx>
        <c:axId val="-839073696"/>
        <c:scaling>
          <c:orientation val="minMax"/>
        </c:scaling>
        <c:delete val="0"/>
        <c:axPos val="l"/>
        <c:numFmt formatCode="#\ ##0.00\ &quot;€&quot;" sourceLinked="1"/>
        <c:majorTickMark val="none"/>
        <c:minorTickMark val="none"/>
        <c:tickLblPos val="nextTo"/>
        <c:txPr>
          <a:bodyPr/>
          <a:lstStyle/>
          <a:p>
            <a:pPr>
              <a:defRPr sz="900" b="1"/>
            </a:pPr>
            <a:endParaRPr lang="pt-PT"/>
          </a:p>
        </c:txPr>
        <c:crossAx val="-119091548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5882786526684198"/>
          <c:y val="0.82831984543598702"/>
          <c:w val="0.69623315835520505"/>
          <c:h val="0.116242627466244"/>
        </c:manualLayout>
      </c:layout>
      <c:overlay val="0"/>
      <c:txPr>
        <a:bodyPr/>
        <a:lstStyle/>
        <a:p>
          <a:pPr>
            <a:defRPr sz="1200"/>
          </a:pPr>
          <a:endParaRPr lang="pt-PT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pt-PT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1</xdr:row>
      <xdr:rowOff>552450</xdr:rowOff>
    </xdr:from>
    <xdr:to>
      <xdr:col>14</xdr:col>
      <xdr:colOff>638175</xdr:colOff>
      <xdr:row>16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27163</xdr:colOff>
      <xdr:row>2</xdr:row>
      <xdr:rowOff>132291</xdr:rowOff>
    </xdr:from>
    <xdr:to>
      <xdr:col>4</xdr:col>
      <xdr:colOff>628650</xdr:colOff>
      <xdr:row>15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  <pageSetUpPr fitToPage="1"/>
  </sheetPr>
  <dimension ref="A2:R92"/>
  <sheetViews>
    <sheetView showGridLines="0" tabSelected="1" zoomScaleNormal="100" zoomScalePageLayoutView="90" workbookViewId="0">
      <pane ySplit="1" topLeftCell="A12" activePane="bottomLeft" state="frozen"/>
      <selection pane="bottomLeft" activeCell="N81" sqref="N81"/>
    </sheetView>
  </sheetViews>
  <sheetFormatPr defaultColWidth="11" defaultRowHeight="15.75" x14ac:dyDescent="0.25"/>
  <cols>
    <col min="1" max="1" width="3.375" customWidth="1"/>
    <col min="2" max="2" width="34.375" customWidth="1"/>
    <col min="3" max="14" width="11.875" customWidth="1"/>
    <col min="15" max="15" width="13.375" customWidth="1"/>
    <col min="16" max="16" width="3.375" customWidth="1"/>
  </cols>
  <sheetData>
    <row r="2" spans="1:16" ht="50.1" customHeight="1" x14ac:dyDescent="0.25">
      <c r="B2" s="15" t="s">
        <v>57</v>
      </c>
      <c r="C2" s="12"/>
      <c r="D2" s="12"/>
      <c r="E2" s="12"/>
      <c r="F2" s="1"/>
      <c r="G2" s="1"/>
      <c r="H2" s="1"/>
      <c r="I2" s="1"/>
    </row>
    <row r="3" spans="1:16" ht="24.95" customHeight="1" x14ac:dyDescent="0.3">
      <c r="A3" s="1"/>
      <c r="B3" s="1"/>
      <c r="C3" s="1"/>
      <c r="D3" s="1"/>
      <c r="E3" s="1"/>
      <c r="F3" s="63" t="s">
        <v>22</v>
      </c>
      <c r="G3" s="63"/>
      <c r="H3" s="63"/>
      <c r="I3" s="63"/>
      <c r="J3" s="3"/>
      <c r="K3" s="1"/>
      <c r="L3" s="1"/>
      <c r="M3" s="1"/>
      <c r="N3" s="1"/>
      <c r="O3" s="1"/>
      <c r="P3" s="1"/>
    </row>
    <row r="4" spans="1:16" ht="21.95" customHeight="1" x14ac:dyDescent="0.25">
      <c r="A4" s="1"/>
      <c r="B4" s="1"/>
      <c r="C4" s="1"/>
      <c r="D4" s="1"/>
      <c r="E4" s="1"/>
      <c r="F4" s="60" t="s">
        <v>0</v>
      </c>
      <c r="G4" s="60"/>
      <c r="H4" s="66">
        <f>'Personal Budget'!O29</f>
        <v>2838.972966</v>
      </c>
      <c r="I4" s="66"/>
      <c r="J4" s="4"/>
      <c r="K4" s="1"/>
      <c r="L4" s="1"/>
      <c r="M4" s="1"/>
      <c r="N4" s="1"/>
      <c r="O4" s="1"/>
      <c r="P4" s="1"/>
    </row>
    <row r="5" spans="1:16" ht="21.95" customHeight="1" x14ac:dyDescent="0.25">
      <c r="A5" s="1"/>
      <c r="B5" s="1"/>
      <c r="C5" s="1"/>
      <c r="D5" s="1"/>
      <c r="E5" s="1"/>
      <c r="F5" s="61" t="s">
        <v>18</v>
      </c>
      <c r="G5" s="61"/>
      <c r="H5" s="66">
        <f>'Personal Budget'!O40</f>
        <v>1166.06</v>
      </c>
      <c r="I5" s="66"/>
      <c r="J5" s="4"/>
      <c r="K5" s="1"/>
      <c r="L5" s="1"/>
      <c r="M5" s="1"/>
      <c r="N5" s="1"/>
      <c r="O5" s="1"/>
      <c r="P5" s="1"/>
    </row>
    <row r="6" spans="1:16" ht="21.95" customHeight="1" x14ac:dyDescent="0.25">
      <c r="A6" s="1"/>
      <c r="B6" s="1"/>
      <c r="C6" s="1"/>
      <c r="D6" s="1"/>
      <c r="E6" s="1"/>
      <c r="F6" s="62" t="s">
        <v>19</v>
      </c>
      <c r="G6" s="62"/>
      <c r="H6" s="66">
        <f>'Personal Budget'!O91</f>
        <v>1669.6979719999997</v>
      </c>
      <c r="I6" s="66"/>
      <c r="J6" s="4"/>
      <c r="K6" s="1"/>
      <c r="L6" s="1"/>
      <c r="M6" s="1"/>
      <c r="N6" s="1"/>
      <c r="O6" s="1"/>
      <c r="P6" s="1"/>
    </row>
    <row r="7" spans="1:16" ht="15.95" customHeight="1" x14ac:dyDescent="0.25">
      <c r="A7" s="1"/>
      <c r="B7" s="1"/>
      <c r="C7" s="1"/>
      <c r="D7" s="1"/>
      <c r="E7" s="1"/>
      <c r="F7" s="1"/>
      <c r="G7" s="4"/>
      <c r="H7" s="4"/>
      <c r="I7" s="4"/>
      <c r="J7" s="4"/>
      <c r="K7" s="1"/>
      <c r="L7" s="1"/>
      <c r="M7" s="1"/>
      <c r="N7" s="1"/>
      <c r="O7" s="1"/>
      <c r="P7" s="1"/>
    </row>
    <row r="8" spans="1:16" ht="21.95" customHeight="1" x14ac:dyDescent="0.25">
      <c r="A8" s="1"/>
      <c r="B8" s="1"/>
      <c r="C8" s="1"/>
      <c r="D8" s="1"/>
      <c r="E8" s="1"/>
      <c r="F8" s="64" t="s">
        <v>21</v>
      </c>
      <c r="G8" s="64"/>
      <c r="H8" s="65">
        <f>H4-H5-H6</f>
        <v>3.214994000000106</v>
      </c>
      <c r="I8" s="65"/>
      <c r="J8" s="4"/>
      <c r="K8" s="1"/>
      <c r="L8" s="1"/>
      <c r="M8" s="1"/>
      <c r="N8" s="1"/>
      <c r="O8" s="1"/>
      <c r="P8" s="1"/>
    </row>
    <row r="9" spans="1:16" ht="15.95" customHeight="1" x14ac:dyDescent="0.25">
      <c r="A9" s="1"/>
      <c r="B9" s="1"/>
      <c r="C9" s="1"/>
      <c r="D9" s="1"/>
      <c r="E9" s="1"/>
      <c r="F9" s="1"/>
      <c r="G9" s="4"/>
      <c r="H9" s="4"/>
      <c r="I9" s="4"/>
      <c r="J9" s="4"/>
      <c r="K9" s="1"/>
      <c r="L9" s="1"/>
      <c r="M9" s="1"/>
      <c r="N9" s="1"/>
      <c r="O9" s="1"/>
      <c r="P9" s="1"/>
    </row>
    <row r="10" spans="1:16" ht="15.95" customHeight="1" x14ac:dyDescent="0.3">
      <c r="A10" s="1"/>
      <c r="B10" s="1"/>
      <c r="C10" s="1"/>
      <c r="D10" s="1"/>
      <c r="E10" s="1"/>
      <c r="F10" s="1"/>
      <c r="G10" s="3"/>
      <c r="H10" s="3"/>
      <c r="I10" s="3"/>
      <c r="J10" s="3"/>
      <c r="K10" s="1"/>
      <c r="L10" s="1"/>
      <c r="M10" s="1"/>
      <c r="N10" s="1"/>
      <c r="O10" s="1"/>
      <c r="P10" s="1"/>
    </row>
    <row r="11" spans="1:16" ht="15.95" customHeight="1" x14ac:dyDescent="0.3">
      <c r="A11" s="1"/>
      <c r="B11" s="1"/>
      <c r="C11" s="1"/>
      <c r="D11" s="1"/>
      <c r="E11" s="1"/>
      <c r="F11" s="1"/>
      <c r="G11" s="3"/>
      <c r="H11" s="3"/>
      <c r="I11" s="3"/>
      <c r="J11" s="3"/>
      <c r="K11" s="1"/>
      <c r="L11" s="1"/>
      <c r="M11" s="1"/>
      <c r="N11" s="1"/>
      <c r="O11" s="1"/>
      <c r="P11" s="1"/>
    </row>
    <row r="12" spans="1:16" ht="15.95" customHeight="1" x14ac:dyDescent="0.3">
      <c r="A12" s="1"/>
      <c r="B12" s="1"/>
      <c r="C12" s="1"/>
      <c r="D12" s="1"/>
      <c r="E12" s="1"/>
      <c r="F12" s="1"/>
      <c r="G12" s="3"/>
      <c r="H12" s="3"/>
      <c r="I12" s="3"/>
      <c r="J12" s="3"/>
      <c r="K12" s="1"/>
      <c r="L12" s="1"/>
      <c r="M12" s="1"/>
      <c r="N12" s="1"/>
      <c r="O12" s="1"/>
      <c r="P12" s="1"/>
    </row>
    <row r="13" spans="1:16" ht="15.95" customHeight="1" x14ac:dyDescent="0.3">
      <c r="A13" s="1"/>
      <c r="B13" s="1"/>
      <c r="C13" s="1"/>
      <c r="D13" s="1"/>
      <c r="E13" s="1"/>
      <c r="F13" s="1"/>
      <c r="G13" s="3"/>
      <c r="H13" s="3"/>
      <c r="I13" s="3"/>
      <c r="J13" s="3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8" customHeight="1" x14ac:dyDescent="0.25">
      <c r="B17" s="19" t="s">
        <v>20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16" s="14" customFormat="1" ht="24.95" customHeight="1" x14ac:dyDescent="0.25">
      <c r="A18" s="6"/>
      <c r="B18" s="13"/>
      <c r="C18" s="36" t="s">
        <v>1</v>
      </c>
      <c r="D18" s="36" t="s">
        <v>2</v>
      </c>
      <c r="E18" s="36" t="s">
        <v>12</v>
      </c>
      <c r="F18" s="36" t="s">
        <v>11</v>
      </c>
      <c r="G18" s="36" t="s">
        <v>3</v>
      </c>
      <c r="H18" s="36" t="s">
        <v>10</v>
      </c>
      <c r="I18" s="36" t="s">
        <v>9</v>
      </c>
      <c r="J18" s="36" t="s">
        <v>8</v>
      </c>
      <c r="K18" s="36" t="s">
        <v>4</v>
      </c>
      <c r="L18" s="36" t="s">
        <v>5</v>
      </c>
      <c r="M18" s="36" t="s">
        <v>6</v>
      </c>
      <c r="N18" s="36" t="s">
        <v>7</v>
      </c>
      <c r="O18" s="4"/>
      <c r="P18" s="6"/>
    </row>
    <row r="19" spans="1:16" ht="21.95" customHeight="1" x14ac:dyDescent="0.3">
      <c r="A19" s="2"/>
      <c r="B19" s="30" t="s">
        <v>0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2"/>
    </row>
    <row r="20" spans="1:16" ht="17.25" x14ac:dyDescent="0.3">
      <c r="A20" s="2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4" t="s">
        <v>28</v>
      </c>
      <c r="P20" s="2"/>
    </row>
    <row r="21" spans="1:16" ht="17.25" x14ac:dyDescent="0.3">
      <c r="A21" s="2"/>
      <c r="B21" s="20" t="s">
        <v>58</v>
      </c>
      <c r="C21" s="55" t="s">
        <v>59</v>
      </c>
      <c r="D21" s="55" t="s">
        <v>59</v>
      </c>
      <c r="E21" s="55" t="s">
        <v>59</v>
      </c>
      <c r="F21" s="55" t="s">
        <v>59</v>
      </c>
      <c r="G21" s="55" t="s">
        <v>59</v>
      </c>
      <c r="H21" s="55" t="s">
        <v>59</v>
      </c>
      <c r="I21" s="55" t="s">
        <v>59</v>
      </c>
      <c r="J21" s="55" t="s">
        <v>59</v>
      </c>
      <c r="K21" s="55" t="s">
        <v>59</v>
      </c>
      <c r="L21" s="55" t="s">
        <v>59</v>
      </c>
      <c r="M21" s="58">
        <f>705.755 +64.162335+57.043415</f>
        <v>826.9607500000001</v>
      </c>
      <c r="N21" s="58">
        <f>705.755+64.162335+57.043415</f>
        <v>826.9607500000001</v>
      </c>
      <c r="O21" s="37">
        <f t="shared" ref="O21:O27" si="0">SUM(C21:N21)</f>
        <v>1653.9215000000002</v>
      </c>
      <c r="P21" s="2"/>
    </row>
    <row r="22" spans="1:16" ht="17.25" x14ac:dyDescent="0.3">
      <c r="A22" s="2"/>
      <c r="B22" s="20" t="s">
        <v>60</v>
      </c>
      <c r="C22" s="55" t="s">
        <v>59</v>
      </c>
      <c r="D22" s="55" t="s">
        <v>59</v>
      </c>
      <c r="E22" s="55" t="s">
        <v>59</v>
      </c>
      <c r="F22" s="55" t="s">
        <v>59</v>
      </c>
      <c r="G22" s="55" t="s">
        <v>59</v>
      </c>
      <c r="H22" s="55" t="s">
        <v>59</v>
      </c>
      <c r="I22" s="55" t="s">
        <v>59</v>
      </c>
      <c r="J22" s="55" t="s">
        <v>59</v>
      </c>
      <c r="K22" s="55" t="s">
        <v>59</v>
      </c>
      <c r="L22" s="55" t="s">
        <v>59</v>
      </c>
      <c r="M22" s="58">
        <v>125.1948</v>
      </c>
      <c r="N22" s="58">
        <v>0</v>
      </c>
      <c r="O22" s="37">
        <f t="shared" si="0"/>
        <v>125.1948</v>
      </c>
      <c r="P22" s="2"/>
    </row>
    <row r="23" spans="1:16" ht="17.25" customHeight="1" x14ac:dyDescent="0.3">
      <c r="A23" s="2"/>
      <c r="B23" s="20" t="s">
        <v>61</v>
      </c>
      <c r="C23" s="55" t="s">
        <v>59</v>
      </c>
      <c r="D23" s="55" t="s">
        <v>59</v>
      </c>
      <c r="E23" s="55" t="s">
        <v>59</v>
      </c>
      <c r="F23" s="55" t="s">
        <v>59</v>
      </c>
      <c r="G23" s="55" t="s">
        <v>59</v>
      </c>
      <c r="H23" s="55" t="s">
        <v>59</v>
      </c>
      <c r="I23" s="55" t="s">
        <v>59</v>
      </c>
      <c r="J23" s="55" t="s">
        <v>59</v>
      </c>
      <c r="K23" s="55" t="s">
        <v>59</v>
      </c>
      <c r="L23" s="55" t="s">
        <v>59</v>
      </c>
      <c r="M23" s="58">
        <v>-58.9152</v>
      </c>
      <c r="N23" s="58">
        <v>-60.1426</v>
      </c>
      <c r="O23" s="37">
        <f t="shared" si="0"/>
        <v>-119.0578</v>
      </c>
      <c r="P23" s="2"/>
    </row>
    <row r="24" spans="1:16" ht="17.25" x14ac:dyDescent="0.3">
      <c r="A24" s="2"/>
      <c r="B24" s="20" t="s">
        <v>62</v>
      </c>
      <c r="C24" s="55" t="s">
        <v>59</v>
      </c>
      <c r="D24" s="55" t="s">
        <v>59</v>
      </c>
      <c r="E24" s="55" t="s">
        <v>59</v>
      </c>
      <c r="F24" s="55" t="s">
        <v>59</v>
      </c>
      <c r="G24" s="55" t="s">
        <v>59</v>
      </c>
      <c r="H24" s="55" t="s">
        <v>59</v>
      </c>
      <c r="I24" s="55" t="s">
        <v>59</v>
      </c>
      <c r="J24" s="55" t="s">
        <v>59</v>
      </c>
      <c r="K24" s="55" t="s">
        <v>59</v>
      </c>
      <c r="L24" s="55" t="s">
        <v>59</v>
      </c>
      <c r="M24" s="58">
        <v>-90.968751</v>
      </c>
      <c r="N24" s="58">
        <v>-90.968751</v>
      </c>
      <c r="O24" s="37">
        <f t="shared" si="0"/>
        <v>-181.937502</v>
      </c>
      <c r="P24" s="2"/>
    </row>
    <row r="25" spans="1:16" ht="17.25" x14ac:dyDescent="0.3">
      <c r="A25" s="2"/>
      <c r="B25" s="20" t="s">
        <v>63</v>
      </c>
      <c r="C25" s="55" t="s">
        <v>59</v>
      </c>
      <c r="D25" s="55" t="s">
        <v>59</v>
      </c>
      <c r="E25" s="55" t="s">
        <v>59</v>
      </c>
      <c r="F25" s="55" t="s">
        <v>59</v>
      </c>
      <c r="G25" s="55" t="s">
        <v>59</v>
      </c>
      <c r="H25" s="55" t="s">
        <v>59</v>
      </c>
      <c r="I25" s="55" t="s">
        <v>59</v>
      </c>
      <c r="J25" s="55" t="s">
        <v>59</v>
      </c>
      <c r="K25" s="55" t="s">
        <v>59</v>
      </c>
      <c r="L25" s="55" t="s">
        <v>59</v>
      </c>
      <c r="M25" s="58">
        <v>122.74000000000001</v>
      </c>
      <c r="N25" s="58">
        <v>122.74000000000001</v>
      </c>
      <c r="O25" s="37">
        <f t="shared" si="0"/>
        <v>245.48000000000002</v>
      </c>
      <c r="P25" s="2"/>
    </row>
    <row r="26" spans="1:16" ht="17.25" x14ac:dyDescent="0.3">
      <c r="A26" s="2"/>
      <c r="B26" s="20" t="s">
        <v>14</v>
      </c>
      <c r="C26" s="55" t="s">
        <v>59</v>
      </c>
      <c r="D26" s="55" t="s">
        <v>59</v>
      </c>
      <c r="E26" s="55" t="s">
        <v>59</v>
      </c>
      <c r="F26" s="55" t="s">
        <v>59</v>
      </c>
      <c r="G26" s="55" t="s">
        <v>59</v>
      </c>
      <c r="H26" s="55" t="s">
        <v>59</v>
      </c>
      <c r="I26" s="55" t="s">
        <v>59</v>
      </c>
      <c r="J26" s="55" t="s">
        <v>59</v>
      </c>
      <c r="K26" s="55" t="s">
        <v>59</v>
      </c>
      <c r="L26" s="55" t="s">
        <v>59</v>
      </c>
      <c r="M26" s="58">
        <v>0</v>
      </c>
      <c r="N26" s="58">
        <v>368.22</v>
      </c>
      <c r="O26" s="37">
        <f t="shared" si="0"/>
        <v>368.22</v>
      </c>
      <c r="P26" s="2"/>
    </row>
    <row r="27" spans="1:16" ht="17.25" x14ac:dyDescent="0.3">
      <c r="A27" s="2"/>
      <c r="B27" s="20" t="s">
        <v>14</v>
      </c>
      <c r="C27" s="55" t="s">
        <v>59</v>
      </c>
      <c r="D27" s="55" t="s">
        <v>59</v>
      </c>
      <c r="E27" s="55" t="s">
        <v>59</v>
      </c>
      <c r="F27" s="55" t="s">
        <v>59</v>
      </c>
      <c r="G27" s="55" t="s">
        <v>59</v>
      </c>
      <c r="H27" s="55" t="s">
        <v>59</v>
      </c>
      <c r="I27" s="55" t="s">
        <v>59</v>
      </c>
      <c r="J27" s="55" t="s">
        <v>59</v>
      </c>
      <c r="K27" s="55" t="s">
        <v>59</v>
      </c>
      <c r="L27" s="55" t="s">
        <v>59</v>
      </c>
      <c r="M27" s="58">
        <v>0</v>
      </c>
      <c r="N27" s="58">
        <v>0</v>
      </c>
      <c r="O27" s="37">
        <f t="shared" si="0"/>
        <v>0</v>
      </c>
      <c r="P27" s="2"/>
    </row>
    <row r="28" spans="1:16" ht="17.25" x14ac:dyDescent="0.3">
      <c r="A28" s="2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38"/>
      <c r="P28" s="2"/>
    </row>
    <row r="29" spans="1:16" ht="17.25" x14ac:dyDescent="0.3">
      <c r="A29" s="2"/>
      <c r="B29" s="33" t="s">
        <v>29</v>
      </c>
      <c r="C29" s="56">
        <f t="shared" ref="C29:L29" si="1">SUM(C21:C27)</f>
        <v>0</v>
      </c>
      <c r="D29" s="56">
        <f t="shared" si="1"/>
        <v>0</v>
      </c>
      <c r="E29" s="56">
        <f t="shared" si="1"/>
        <v>0</v>
      </c>
      <c r="F29" s="56">
        <f t="shared" si="1"/>
        <v>0</v>
      </c>
      <c r="G29" s="56">
        <f t="shared" si="1"/>
        <v>0</v>
      </c>
      <c r="H29" s="56">
        <f t="shared" si="1"/>
        <v>0</v>
      </c>
      <c r="I29" s="56">
        <f t="shared" si="1"/>
        <v>0</v>
      </c>
      <c r="J29" s="56">
        <f t="shared" si="1"/>
        <v>0</v>
      </c>
      <c r="K29" s="56">
        <f t="shared" si="1"/>
        <v>0</v>
      </c>
      <c r="L29" s="56">
        <f t="shared" si="1"/>
        <v>0</v>
      </c>
      <c r="M29" s="56">
        <f>SUM(M21:M27)</f>
        <v>925.011599</v>
      </c>
      <c r="N29" s="56">
        <f>SUM(N21:N27)</f>
        <v>1166.809399</v>
      </c>
      <c r="O29" s="39">
        <f>SUM(C29:N29)</f>
        <v>2091.820998</v>
      </c>
      <c r="P29" s="2"/>
    </row>
    <row r="30" spans="1:16" ht="17.25" x14ac:dyDescent="0.3">
      <c r="A30" s="2"/>
      <c r="B30" s="7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40"/>
      <c r="P30" s="2"/>
    </row>
    <row r="31" spans="1:16" ht="21.95" customHeight="1" x14ac:dyDescent="0.3">
      <c r="A31" s="2"/>
      <c r="B31" s="28" t="s">
        <v>23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41"/>
      <c r="P31" s="2"/>
    </row>
    <row r="32" spans="1:16" ht="17.25" x14ac:dyDescent="0.3">
      <c r="A32" s="2"/>
      <c r="B32" s="25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42" t="s">
        <v>28</v>
      </c>
      <c r="P32" s="2"/>
    </row>
    <row r="33" spans="1:16" ht="17.25" customHeight="1" x14ac:dyDescent="0.3">
      <c r="A33" s="2"/>
      <c r="B33" s="26" t="s">
        <v>24</v>
      </c>
      <c r="C33" s="57" t="s">
        <v>59</v>
      </c>
      <c r="D33" s="57" t="s">
        <v>59</v>
      </c>
      <c r="E33" s="57" t="s">
        <v>59</v>
      </c>
      <c r="F33" s="57" t="s">
        <v>59</v>
      </c>
      <c r="G33" s="57" t="s">
        <v>59</v>
      </c>
      <c r="H33" s="57" t="s">
        <v>59</v>
      </c>
      <c r="I33" s="57" t="s">
        <v>59</v>
      </c>
      <c r="J33" s="57" t="s">
        <v>59</v>
      </c>
      <c r="K33" s="57" t="s">
        <v>59</v>
      </c>
      <c r="L33" s="57" t="s">
        <v>59</v>
      </c>
      <c r="M33" s="52">
        <v>898.87</v>
      </c>
      <c r="N33" s="52">
        <v>898.87</v>
      </c>
      <c r="O33" s="37">
        <f t="shared" ref="O33:O38" si="2">SUM(C33:N33)</f>
        <v>1797.74</v>
      </c>
      <c r="P33" s="2"/>
    </row>
    <row r="34" spans="1:16" ht="17.25" customHeight="1" x14ac:dyDescent="0.3">
      <c r="A34" s="2"/>
      <c r="B34" s="26" t="s">
        <v>13</v>
      </c>
      <c r="C34" s="57" t="s">
        <v>59</v>
      </c>
      <c r="D34" s="57" t="s">
        <v>59</v>
      </c>
      <c r="E34" s="57" t="s">
        <v>59</v>
      </c>
      <c r="F34" s="57" t="s">
        <v>59</v>
      </c>
      <c r="G34" s="57" t="s">
        <v>59</v>
      </c>
      <c r="H34" s="57" t="s">
        <v>59</v>
      </c>
      <c r="I34" s="57" t="s">
        <v>59</v>
      </c>
      <c r="J34" s="57" t="s">
        <v>59</v>
      </c>
      <c r="K34" s="57" t="s">
        <v>59</v>
      </c>
      <c r="L34" s="57" t="s">
        <v>59</v>
      </c>
      <c r="M34" s="52">
        <v>0</v>
      </c>
      <c r="N34" s="52">
        <v>0</v>
      </c>
      <c r="O34" s="37">
        <f t="shared" si="2"/>
        <v>0</v>
      </c>
      <c r="P34" s="2"/>
    </row>
    <row r="35" spans="1:16" ht="17.25" customHeight="1" x14ac:dyDescent="0.3">
      <c r="A35" s="2"/>
      <c r="B35" s="26" t="s">
        <v>25</v>
      </c>
      <c r="C35" s="57" t="s">
        <v>59</v>
      </c>
      <c r="D35" s="57" t="s">
        <v>59</v>
      </c>
      <c r="E35" s="57" t="s">
        <v>59</v>
      </c>
      <c r="F35" s="57" t="s">
        <v>59</v>
      </c>
      <c r="G35" s="57" t="s">
        <v>59</v>
      </c>
      <c r="H35" s="57" t="s">
        <v>59</v>
      </c>
      <c r="I35" s="57" t="s">
        <v>59</v>
      </c>
      <c r="J35" s="57" t="s">
        <v>59</v>
      </c>
      <c r="K35" s="57" t="s">
        <v>59</v>
      </c>
      <c r="L35" s="57" t="s">
        <v>59</v>
      </c>
      <c r="M35" s="52">
        <v>0</v>
      </c>
      <c r="N35" s="52">
        <v>0</v>
      </c>
      <c r="O35" s="37">
        <f t="shared" si="2"/>
        <v>0</v>
      </c>
      <c r="P35" s="2"/>
    </row>
    <row r="36" spans="1:16" ht="17.25" customHeight="1" x14ac:dyDescent="0.3">
      <c r="A36" s="2"/>
      <c r="B36" s="26" t="s">
        <v>26</v>
      </c>
      <c r="C36" s="57" t="s">
        <v>59</v>
      </c>
      <c r="D36" s="57" t="s">
        <v>59</v>
      </c>
      <c r="E36" s="57" t="s">
        <v>59</v>
      </c>
      <c r="F36" s="57" t="s">
        <v>59</v>
      </c>
      <c r="G36" s="57" t="s">
        <v>59</v>
      </c>
      <c r="H36" s="57" t="s">
        <v>59</v>
      </c>
      <c r="I36" s="57" t="s">
        <v>59</v>
      </c>
      <c r="J36" s="57" t="s">
        <v>59</v>
      </c>
      <c r="K36" s="57" t="s">
        <v>59</v>
      </c>
      <c r="L36" s="57" t="s">
        <v>59</v>
      </c>
      <c r="M36" s="52">
        <v>0</v>
      </c>
      <c r="N36" s="52">
        <v>0</v>
      </c>
      <c r="O36" s="37">
        <f t="shared" si="2"/>
        <v>0</v>
      </c>
      <c r="P36" s="2"/>
    </row>
    <row r="37" spans="1:16" ht="17.25" customHeight="1" x14ac:dyDescent="0.3">
      <c r="A37" s="2"/>
      <c r="B37" s="26" t="s">
        <v>27</v>
      </c>
      <c r="C37" s="57" t="s">
        <v>59</v>
      </c>
      <c r="D37" s="57" t="s">
        <v>59</v>
      </c>
      <c r="E37" s="57" t="s">
        <v>59</v>
      </c>
      <c r="F37" s="57" t="s">
        <v>59</v>
      </c>
      <c r="G37" s="57" t="s">
        <v>59</v>
      </c>
      <c r="H37" s="57" t="s">
        <v>59</v>
      </c>
      <c r="I37" s="57" t="s">
        <v>59</v>
      </c>
      <c r="J37" s="57" t="s">
        <v>59</v>
      </c>
      <c r="K37" s="57" t="s">
        <v>59</v>
      </c>
      <c r="L37" s="57" t="s">
        <v>59</v>
      </c>
      <c r="M37" s="52">
        <v>0</v>
      </c>
      <c r="N37" s="52">
        <v>0</v>
      </c>
      <c r="O37" s="37">
        <f t="shared" si="2"/>
        <v>0</v>
      </c>
      <c r="P37" s="2"/>
    </row>
    <row r="38" spans="1:16" ht="17.25" customHeight="1" x14ac:dyDescent="0.3">
      <c r="A38" s="2"/>
      <c r="B38" s="26" t="s">
        <v>14</v>
      </c>
      <c r="C38" s="57" t="s">
        <v>59</v>
      </c>
      <c r="D38" s="57" t="s">
        <v>59</v>
      </c>
      <c r="E38" s="57" t="s">
        <v>59</v>
      </c>
      <c r="F38" s="57" t="s">
        <v>59</v>
      </c>
      <c r="G38" s="57" t="s">
        <v>59</v>
      </c>
      <c r="H38" s="57" t="s">
        <v>59</v>
      </c>
      <c r="I38" s="57" t="s">
        <v>59</v>
      </c>
      <c r="J38" s="57" t="s">
        <v>59</v>
      </c>
      <c r="K38" s="57" t="s">
        <v>59</v>
      </c>
      <c r="L38" s="57" t="s">
        <v>59</v>
      </c>
      <c r="M38" s="52">
        <v>0</v>
      </c>
      <c r="N38" s="52">
        <v>0</v>
      </c>
      <c r="O38" s="37">
        <f t="shared" si="2"/>
        <v>0</v>
      </c>
      <c r="P38" s="2"/>
    </row>
    <row r="39" spans="1:16" ht="17.25" customHeight="1" x14ac:dyDescent="0.3">
      <c r="A39" s="2"/>
      <c r="B39" s="8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2"/>
    </row>
    <row r="40" spans="1:16" ht="17.25" customHeight="1" x14ac:dyDescent="0.3">
      <c r="A40" s="2"/>
      <c r="B40" s="34" t="s">
        <v>29</v>
      </c>
      <c r="C40" s="53">
        <f t="shared" ref="C40:N40" si="3">SUM(C33:C38)</f>
        <v>0</v>
      </c>
      <c r="D40" s="53">
        <f t="shared" si="3"/>
        <v>0</v>
      </c>
      <c r="E40" s="53">
        <f t="shared" si="3"/>
        <v>0</v>
      </c>
      <c r="F40" s="53">
        <f t="shared" si="3"/>
        <v>0</v>
      </c>
      <c r="G40" s="53">
        <f t="shared" si="3"/>
        <v>0</v>
      </c>
      <c r="H40" s="53">
        <f t="shared" si="3"/>
        <v>0</v>
      </c>
      <c r="I40" s="53">
        <f t="shared" si="3"/>
        <v>0</v>
      </c>
      <c r="J40" s="53">
        <f t="shared" si="3"/>
        <v>0</v>
      </c>
      <c r="K40" s="53">
        <f t="shared" si="3"/>
        <v>0</v>
      </c>
      <c r="L40" s="53">
        <f t="shared" si="3"/>
        <v>0</v>
      </c>
      <c r="M40" s="53">
        <f t="shared" si="3"/>
        <v>898.87</v>
      </c>
      <c r="N40" s="53">
        <f t="shared" si="3"/>
        <v>898.87</v>
      </c>
      <c r="O40" s="43">
        <f>SUM(C40:N40)</f>
        <v>1797.74</v>
      </c>
      <c r="P40" s="2"/>
    </row>
    <row r="41" spans="1:16" ht="17.25" customHeight="1" x14ac:dyDescent="0.3">
      <c r="A41" s="2"/>
      <c r="B41" s="11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2"/>
    </row>
    <row r="42" spans="1:16" ht="21.95" customHeight="1" x14ac:dyDescent="0.3">
      <c r="A42" s="2"/>
      <c r="B42" s="23" t="s">
        <v>19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2"/>
    </row>
    <row r="43" spans="1:16" ht="17.25" customHeight="1" x14ac:dyDescent="0.3">
      <c r="A43" s="2"/>
      <c r="B43" s="16" t="s">
        <v>30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6" t="s">
        <v>28</v>
      </c>
      <c r="P43" s="2"/>
    </row>
    <row r="44" spans="1:16" ht="17.25" customHeight="1" x14ac:dyDescent="0.3">
      <c r="A44" s="2"/>
      <c r="B44" s="27" t="s">
        <v>31</v>
      </c>
      <c r="C44" s="57" t="s">
        <v>59</v>
      </c>
      <c r="D44" s="57" t="s">
        <v>59</v>
      </c>
      <c r="E44" s="57" t="s">
        <v>59</v>
      </c>
      <c r="F44" s="57" t="s">
        <v>59</v>
      </c>
      <c r="G44" s="57" t="s">
        <v>59</v>
      </c>
      <c r="H44" s="57" t="s">
        <v>59</v>
      </c>
      <c r="I44" s="57" t="s">
        <v>59</v>
      </c>
      <c r="J44" s="57" t="s">
        <v>59</v>
      </c>
      <c r="K44" s="57" t="s">
        <v>59</v>
      </c>
      <c r="L44" s="57" t="s">
        <v>59</v>
      </c>
      <c r="M44" s="52">
        <v>0</v>
      </c>
      <c r="N44" s="52">
        <v>0</v>
      </c>
      <c r="O44" s="47">
        <f t="shared" ref="O44:O49" si="4">SUM(C44:N44)</f>
        <v>0</v>
      </c>
      <c r="P44" s="2"/>
    </row>
    <row r="45" spans="1:16" ht="17.25" customHeight="1" x14ac:dyDescent="0.3">
      <c r="A45" s="2"/>
      <c r="B45" s="27" t="s">
        <v>32</v>
      </c>
      <c r="C45" s="57" t="s">
        <v>59</v>
      </c>
      <c r="D45" s="57" t="s">
        <v>59</v>
      </c>
      <c r="E45" s="57" t="s">
        <v>59</v>
      </c>
      <c r="F45" s="57" t="s">
        <v>59</v>
      </c>
      <c r="G45" s="57" t="s">
        <v>59</v>
      </c>
      <c r="H45" s="57" t="s">
        <v>59</v>
      </c>
      <c r="I45" s="57" t="s">
        <v>59</v>
      </c>
      <c r="J45" s="57" t="s">
        <v>59</v>
      </c>
      <c r="K45" s="57" t="s">
        <v>59</v>
      </c>
      <c r="L45" s="57" t="s">
        <v>59</v>
      </c>
      <c r="M45" s="52">
        <v>0</v>
      </c>
      <c r="N45" s="52">
        <v>0</v>
      </c>
      <c r="O45" s="47">
        <f t="shared" si="4"/>
        <v>0</v>
      </c>
      <c r="P45" s="2"/>
    </row>
    <row r="46" spans="1:16" ht="17.25" customHeight="1" x14ac:dyDescent="0.3">
      <c r="A46" s="2"/>
      <c r="B46" s="27" t="s">
        <v>33</v>
      </c>
      <c r="C46" s="57" t="s">
        <v>59</v>
      </c>
      <c r="D46" s="57" t="s">
        <v>59</v>
      </c>
      <c r="E46" s="57" t="s">
        <v>59</v>
      </c>
      <c r="F46" s="57" t="s">
        <v>59</v>
      </c>
      <c r="G46" s="57" t="s">
        <v>59</v>
      </c>
      <c r="H46" s="57" t="s">
        <v>59</v>
      </c>
      <c r="I46" s="57" t="s">
        <v>59</v>
      </c>
      <c r="J46" s="57" t="s">
        <v>59</v>
      </c>
      <c r="K46" s="57" t="s">
        <v>59</v>
      </c>
      <c r="L46" s="57" t="s">
        <v>59</v>
      </c>
      <c r="M46" s="52">
        <v>0</v>
      </c>
      <c r="N46" s="52">
        <v>0</v>
      </c>
      <c r="O46" s="47">
        <f t="shared" si="4"/>
        <v>0</v>
      </c>
      <c r="P46" s="2"/>
    </row>
    <row r="47" spans="1:16" ht="17.25" customHeight="1" x14ac:dyDescent="0.3">
      <c r="A47" s="2"/>
      <c r="B47" s="27" t="s">
        <v>34</v>
      </c>
      <c r="C47" s="57" t="s">
        <v>59</v>
      </c>
      <c r="D47" s="57" t="s">
        <v>59</v>
      </c>
      <c r="E47" s="57" t="s">
        <v>59</v>
      </c>
      <c r="F47" s="57" t="s">
        <v>59</v>
      </c>
      <c r="G47" s="57" t="s">
        <v>59</v>
      </c>
      <c r="H47" s="57" t="s">
        <v>59</v>
      </c>
      <c r="I47" s="57" t="s">
        <v>59</v>
      </c>
      <c r="J47" s="57" t="s">
        <v>59</v>
      </c>
      <c r="K47" s="57" t="s">
        <v>59</v>
      </c>
      <c r="L47" s="57" t="s">
        <v>59</v>
      </c>
      <c r="M47" s="52">
        <v>0</v>
      </c>
      <c r="N47" s="52">
        <v>0</v>
      </c>
      <c r="O47" s="47">
        <f t="shared" si="4"/>
        <v>0</v>
      </c>
      <c r="P47" s="2"/>
    </row>
    <row r="48" spans="1:16" ht="17.25" customHeight="1" x14ac:dyDescent="0.3">
      <c r="A48" s="2"/>
      <c r="B48" s="27" t="s">
        <v>35</v>
      </c>
      <c r="C48" s="57" t="s">
        <v>59</v>
      </c>
      <c r="D48" s="57" t="s">
        <v>59</v>
      </c>
      <c r="E48" s="57" t="s">
        <v>59</v>
      </c>
      <c r="F48" s="57" t="s">
        <v>59</v>
      </c>
      <c r="G48" s="57" t="s">
        <v>59</v>
      </c>
      <c r="H48" s="57" t="s">
        <v>59</v>
      </c>
      <c r="I48" s="57" t="s">
        <v>59</v>
      </c>
      <c r="J48" s="57" t="s">
        <v>59</v>
      </c>
      <c r="K48" s="57" t="s">
        <v>59</v>
      </c>
      <c r="L48" s="57" t="s">
        <v>59</v>
      </c>
      <c r="M48" s="52">
        <v>0</v>
      </c>
      <c r="N48" s="52">
        <v>0</v>
      </c>
      <c r="O48" s="47">
        <f t="shared" si="4"/>
        <v>0</v>
      </c>
      <c r="P48" s="2"/>
    </row>
    <row r="49" spans="1:16" ht="17.25" customHeight="1" x14ac:dyDescent="0.3">
      <c r="A49" s="2"/>
      <c r="B49" s="27" t="s">
        <v>36</v>
      </c>
      <c r="C49" s="57" t="s">
        <v>59</v>
      </c>
      <c r="D49" s="57" t="s">
        <v>59</v>
      </c>
      <c r="E49" s="57" t="s">
        <v>59</v>
      </c>
      <c r="F49" s="57" t="s">
        <v>59</v>
      </c>
      <c r="G49" s="57" t="s">
        <v>59</v>
      </c>
      <c r="H49" s="57" t="s">
        <v>59</v>
      </c>
      <c r="I49" s="57" t="s">
        <v>59</v>
      </c>
      <c r="J49" s="57" t="s">
        <v>59</v>
      </c>
      <c r="K49" s="57" t="s">
        <v>59</v>
      </c>
      <c r="L49" s="57" t="s">
        <v>59</v>
      </c>
      <c r="M49" s="52">
        <v>0</v>
      </c>
      <c r="N49" s="52">
        <v>0</v>
      </c>
      <c r="O49" s="47">
        <f t="shared" si="4"/>
        <v>0</v>
      </c>
      <c r="P49" s="2"/>
    </row>
    <row r="50" spans="1:16" ht="17.25" customHeight="1" x14ac:dyDescent="0.3">
      <c r="A50" s="2"/>
      <c r="B50" s="17"/>
      <c r="C50" s="48">
        <f t="shared" ref="C50:O50" si="5">SUM(C44:C49)</f>
        <v>0</v>
      </c>
      <c r="D50" s="48">
        <f t="shared" si="5"/>
        <v>0</v>
      </c>
      <c r="E50" s="48">
        <f t="shared" si="5"/>
        <v>0</v>
      </c>
      <c r="F50" s="48">
        <f t="shared" si="5"/>
        <v>0</v>
      </c>
      <c r="G50" s="48">
        <f t="shared" si="5"/>
        <v>0</v>
      </c>
      <c r="H50" s="48">
        <f t="shared" si="5"/>
        <v>0</v>
      </c>
      <c r="I50" s="48">
        <f t="shared" si="5"/>
        <v>0</v>
      </c>
      <c r="J50" s="48">
        <f t="shared" si="5"/>
        <v>0</v>
      </c>
      <c r="K50" s="48">
        <f t="shared" si="5"/>
        <v>0</v>
      </c>
      <c r="L50" s="48">
        <f t="shared" si="5"/>
        <v>0</v>
      </c>
      <c r="M50" s="48">
        <f t="shared" si="5"/>
        <v>0</v>
      </c>
      <c r="N50" s="48">
        <f t="shared" si="5"/>
        <v>0</v>
      </c>
      <c r="O50" s="48">
        <f t="shared" si="5"/>
        <v>0</v>
      </c>
      <c r="P50" s="2"/>
    </row>
    <row r="51" spans="1:16" ht="17.25" customHeight="1" x14ac:dyDescent="0.3">
      <c r="A51" s="2"/>
      <c r="B51" s="16" t="s">
        <v>37</v>
      </c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4"/>
      <c r="P51" s="2"/>
    </row>
    <row r="52" spans="1:16" ht="17.25" customHeight="1" x14ac:dyDescent="0.3">
      <c r="A52" s="2"/>
      <c r="B52" s="27" t="s">
        <v>38</v>
      </c>
      <c r="C52" s="57" t="s">
        <v>59</v>
      </c>
      <c r="D52" s="57" t="s">
        <v>59</v>
      </c>
      <c r="E52" s="57" t="s">
        <v>59</v>
      </c>
      <c r="F52" s="57" t="s">
        <v>59</v>
      </c>
      <c r="G52" s="57" t="s">
        <v>59</v>
      </c>
      <c r="H52" s="57" t="s">
        <v>59</v>
      </c>
      <c r="I52" s="57" t="s">
        <v>59</v>
      </c>
      <c r="J52" s="57" t="s">
        <v>59</v>
      </c>
      <c r="K52" s="57" t="s">
        <v>59</v>
      </c>
      <c r="L52" s="57" t="s">
        <v>59</v>
      </c>
      <c r="M52" s="52">
        <v>0</v>
      </c>
      <c r="N52" s="52">
        <v>0</v>
      </c>
      <c r="O52" s="47">
        <f t="shared" ref="O52:O57" si="6">SUM(C52:N52)</f>
        <v>0</v>
      </c>
      <c r="P52" s="2"/>
    </row>
    <row r="53" spans="1:16" ht="17.25" customHeight="1" x14ac:dyDescent="0.3">
      <c r="A53" s="2"/>
      <c r="B53" s="27" t="s">
        <v>39</v>
      </c>
      <c r="C53" s="57" t="s">
        <v>59</v>
      </c>
      <c r="D53" s="57" t="s">
        <v>59</v>
      </c>
      <c r="E53" s="57" t="s">
        <v>59</v>
      </c>
      <c r="F53" s="57" t="s">
        <v>59</v>
      </c>
      <c r="G53" s="57" t="s">
        <v>59</v>
      </c>
      <c r="H53" s="57" t="s">
        <v>59</v>
      </c>
      <c r="I53" s="57" t="s">
        <v>59</v>
      </c>
      <c r="J53" s="57" t="s">
        <v>59</v>
      </c>
      <c r="K53" s="57" t="s">
        <v>59</v>
      </c>
      <c r="L53" s="57" t="s">
        <v>59</v>
      </c>
      <c r="M53" s="52">
        <v>51.506536000000004</v>
      </c>
      <c r="N53" s="52">
        <v>62.001076</v>
      </c>
      <c r="O53" s="47">
        <f t="shared" si="6"/>
        <v>113.507612</v>
      </c>
      <c r="P53" s="2"/>
    </row>
    <row r="54" spans="1:16" ht="17.25" customHeight="1" x14ac:dyDescent="0.3">
      <c r="A54" s="2"/>
      <c r="B54" s="27" t="s">
        <v>15</v>
      </c>
      <c r="C54" s="57" t="s">
        <v>59</v>
      </c>
      <c r="D54" s="57" t="s">
        <v>59</v>
      </c>
      <c r="E54" s="57" t="s">
        <v>59</v>
      </c>
      <c r="F54" s="57" t="s">
        <v>59</v>
      </c>
      <c r="G54" s="57" t="s">
        <v>59</v>
      </c>
      <c r="H54" s="57" t="s">
        <v>59</v>
      </c>
      <c r="I54" s="57" t="s">
        <v>59</v>
      </c>
      <c r="J54" s="57" t="s">
        <v>59</v>
      </c>
      <c r="K54" s="57" t="s">
        <v>59</v>
      </c>
      <c r="L54" s="57" t="s">
        <v>59</v>
      </c>
      <c r="M54" s="52">
        <v>0</v>
      </c>
      <c r="N54" s="52">
        <v>0</v>
      </c>
      <c r="O54" s="47">
        <f t="shared" si="6"/>
        <v>0</v>
      </c>
      <c r="P54" s="2"/>
    </row>
    <row r="55" spans="1:16" ht="17.25" customHeight="1" x14ac:dyDescent="0.3">
      <c r="A55" s="2"/>
      <c r="B55" s="27" t="s">
        <v>40</v>
      </c>
      <c r="C55" s="57" t="s">
        <v>59</v>
      </c>
      <c r="D55" s="57" t="s">
        <v>59</v>
      </c>
      <c r="E55" s="57" t="s">
        <v>59</v>
      </c>
      <c r="F55" s="57" t="s">
        <v>59</v>
      </c>
      <c r="G55" s="57" t="s">
        <v>59</v>
      </c>
      <c r="H55" s="57" t="s">
        <v>59</v>
      </c>
      <c r="I55" s="57" t="s">
        <v>59</v>
      </c>
      <c r="J55" s="57" t="s">
        <v>59</v>
      </c>
      <c r="K55" s="57" t="s">
        <v>59</v>
      </c>
      <c r="L55" s="57" t="s">
        <v>59</v>
      </c>
      <c r="M55" s="52">
        <v>0</v>
      </c>
      <c r="N55" s="52">
        <v>0</v>
      </c>
      <c r="O55" s="47">
        <f t="shared" si="6"/>
        <v>0</v>
      </c>
      <c r="P55" s="2"/>
    </row>
    <row r="56" spans="1:16" ht="17.25" customHeight="1" x14ac:dyDescent="0.3">
      <c r="A56" s="2"/>
      <c r="B56" s="27" t="s">
        <v>41</v>
      </c>
      <c r="C56" s="57" t="s">
        <v>59</v>
      </c>
      <c r="D56" s="57" t="s">
        <v>59</v>
      </c>
      <c r="E56" s="57" t="s">
        <v>59</v>
      </c>
      <c r="F56" s="57" t="s">
        <v>59</v>
      </c>
      <c r="G56" s="57" t="s">
        <v>59</v>
      </c>
      <c r="H56" s="57" t="s">
        <v>59</v>
      </c>
      <c r="I56" s="57" t="s">
        <v>59</v>
      </c>
      <c r="J56" s="57" t="s">
        <v>59</v>
      </c>
      <c r="K56" s="57" t="s">
        <v>59</v>
      </c>
      <c r="L56" s="57" t="s">
        <v>59</v>
      </c>
      <c r="M56" s="52">
        <v>39.9792</v>
      </c>
      <c r="N56" s="52">
        <v>0</v>
      </c>
      <c r="O56" s="47">
        <f t="shared" si="6"/>
        <v>39.9792</v>
      </c>
      <c r="P56" s="2"/>
    </row>
    <row r="57" spans="1:16" ht="17.25" customHeight="1" x14ac:dyDescent="0.3">
      <c r="A57" s="2"/>
      <c r="B57" s="27" t="s">
        <v>14</v>
      </c>
      <c r="C57" s="57" t="s">
        <v>59</v>
      </c>
      <c r="D57" s="57" t="s">
        <v>59</v>
      </c>
      <c r="E57" s="57" t="s">
        <v>59</v>
      </c>
      <c r="F57" s="57" t="s">
        <v>59</v>
      </c>
      <c r="G57" s="57" t="s">
        <v>59</v>
      </c>
      <c r="H57" s="57" t="s">
        <v>59</v>
      </c>
      <c r="I57" s="57" t="s">
        <v>59</v>
      </c>
      <c r="J57" s="57" t="s">
        <v>59</v>
      </c>
      <c r="K57" s="57" t="s">
        <v>59</v>
      </c>
      <c r="L57" s="57" t="s">
        <v>59</v>
      </c>
      <c r="M57" s="52">
        <v>0</v>
      </c>
      <c r="N57" s="52">
        <v>0</v>
      </c>
      <c r="O57" s="47">
        <f t="shared" si="6"/>
        <v>0</v>
      </c>
      <c r="P57" s="2"/>
    </row>
    <row r="58" spans="1:16" ht="17.25" customHeight="1" x14ac:dyDescent="0.3">
      <c r="A58" s="2"/>
      <c r="B58" s="17"/>
      <c r="C58" s="49">
        <f t="shared" ref="C58:O58" si="7">SUM(C52:C57)</f>
        <v>0</v>
      </c>
      <c r="D58" s="49">
        <f t="shared" si="7"/>
        <v>0</v>
      </c>
      <c r="E58" s="49">
        <f t="shared" si="7"/>
        <v>0</v>
      </c>
      <c r="F58" s="49">
        <f t="shared" si="7"/>
        <v>0</v>
      </c>
      <c r="G58" s="49">
        <f t="shared" si="7"/>
        <v>0</v>
      </c>
      <c r="H58" s="49">
        <f t="shared" si="7"/>
        <v>0</v>
      </c>
      <c r="I58" s="49">
        <f t="shared" si="7"/>
        <v>0</v>
      </c>
      <c r="J58" s="49">
        <f t="shared" si="7"/>
        <v>0</v>
      </c>
      <c r="K58" s="49">
        <f t="shared" si="7"/>
        <v>0</v>
      </c>
      <c r="L58" s="49">
        <f t="shared" si="7"/>
        <v>0</v>
      </c>
      <c r="M58" s="49">
        <f t="shared" si="7"/>
        <v>91.485736</v>
      </c>
      <c r="N58" s="49">
        <f t="shared" si="7"/>
        <v>62.001076</v>
      </c>
      <c r="O58" s="49">
        <f t="shared" si="7"/>
        <v>153.486812</v>
      </c>
      <c r="P58" s="2"/>
    </row>
    <row r="59" spans="1:16" ht="17.25" customHeight="1" x14ac:dyDescent="0.3">
      <c r="A59" s="2"/>
      <c r="B59" s="16" t="s">
        <v>42</v>
      </c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4"/>
      <c r="P59" s="2"/>
    </row>
    <row r="60" spans="1:16" ht="17.25" customHeight="1" x14ac:dyDescent="0.3">
      <c r="A60" s="2"/>
      <c r="B60" s="27" t="s">
        <v>17</v>
      </c>
      <c r="C60" s="57" t="s">
        <v>59</v>
      </c>
      <c r="D60" s="57" t="s">
        <v>59</v>
      </c>
      <c r="E60" s="57" t="s">
        <v>59</v>
      </c>
      <c r="F60" s="57" t="s">
        <v>59</v>
      </c>
      <c r="G60" s="57" t="s">
        <v>59</v>
      </c>
      <c r="H60" s="57" t="s">
        <v>59</v>
      </c>
      <c r="I60" s="57" t="s">
        <v>59</v>
      </c>
      <c r="J60" s="57" t="s">
        <v>59</v>
      </c>
      <c r="K60" s="57" t="s">
        <v>59</v>
      </c>
      <c r="L60" s="57" t="s">
        <v>59</v>
      </c>
      <c r="M60" s="52">
        <v>0</v>
      </c>
      <c r="N60" s="52">
        <v>0</v>
      </c>
      <c r="O60" s="47">
        <f t="shared" ref="O60:O64" si="8">SUM(C60:N60)</f>
        <v>0</v>
      </c>
      <c r="P60" s="2"/>
    </row>
    <row r="61" spans="1:16" ht="17.25" customHeight="1" x14ac:dyDescent="0.3">
      <c r="A61" s="2"/>
      <c r="B61" s="27" t="s">
        <v>69</v>
      </c>
      <c r="C61" s="57" t="s">
        <v>59</v>
      </c>
      <c r="D61" s="57" t="s">
        <v>59</v>
      </c>
      <c r="E61" s="57" t="s">
        <v>59</v>
      </c>
      <c r="F61" s="57" t="s">
        <v>59</v>
      </c>
      <c r="G61" s="57" t="s">
        <v>59</v>
      </c>
      <c r="H61" s="57" t="s">
        <v>59</v>
      </c>
      <c r="I61" s="57" t="s">
        <v>59</v>
      </c>
      <c r="J61" s="57" t="s">
        <v>59</v>
      </c>
      <c r="K61" s="57" t="s">
        <v>59</v>
      </c>
      <c r="L61" s="57" t="s">
        <v>59</v>
      </c>
      <c r="M61" s="52">
        <v>0</v>
      </c>
      <c r="N61" s="52">
        <v>29.1515</v>
      </c>
      <c r="O61" s="47">
        <f t="shared" si="8"/>
        <v>29.1515</v>
      </c>
      <c r="P61" s="2"/>
    </row>
    <row r="62" spans="1:16" ht="17.25" customHeight="1" x14ac:dyDescent="0.3">
      <c r="A62" s="2"/>
      <c r="B62" s="27" t="s">
        <v>43</v>
      </c>
      <c r="C62" s="57" t="s">
        <v>59</v>
      </c>
      <c r="D62" s="57" t="s">
        <v>59</v>
      </c>
      <c r="E62" s="57" t="s">
        <v>59</v>
      </c>
      <c r="F62" s="57" t="s">
        <v>59</v>
      </c>
      <c r="G62" s="57" t="s">
        <v>59</v>
      </c>
      <c r="H62" s="57" t="s">
        <v>59</v>
      </c>
      <c r="I62" s="57" t="s">
        <v>59</v>
      </c>
      <c r="J62" s="57" t="s">
        <v>59</v>
      </c>
      <c r="K62" s="57" t="s">
        <v>59</v>
      </c>
      <c r="L62" s="57" t="s">
        <v>59</v>
      </c>
      <c r="M62" s="52">
        <v>0</v>
      </c>
      <c r="N62" s="52">
        <v>0</v>
      </c>
      <c r="O62" s="47">
        <f t="shared" si="8"/>
        <v>0</v>
      </c>
      <c r="P62" s="2"/>
    </row>
    <row r="63" spans="1:16" ht="17.25" customHeight="1" x14ac:dyDescent="0.3">
      <c r="A63" s="2"/>
      <c r="B63" s="27" t="s">
        <v>44</v>
      </c>
      <c r="C63" s="57" t="s">
        <v>59</v>
      </c>
      <c r="D63" s="57" t="s">
        <v>59</v>
      </c>
      <c r="E63" s="57" t="s">
        <v>59</v>
      </c>
      <c r="F63" s="57" t="s">
        <v>59</v>
      </c>
      <c r="G63" s="57" t="s">
        <v>59</v>
      </c>
      <c r="H63" s="57" t="s">
        <v>59</v>
      </c>
      <c r="I63" s="57" t="s">
        <v>59</v>
      </c>
      <c r="J63" s="57" t="s">
        <v>59</v>
      </c>
      <c r="K63" s="57" t="s">
        <v>59</v>
      </c>
      <c r="L63" s="57" t="s">
        <v>59</v>
      </c>
      <c r="M63" s="52">
        <v>0</v>
      </c>
      <c r="N63" s="52">
        <v>0</v>
      </c>
      <c r="O63" s="47">
        <f t="shared" si="8"/>
        <v>0</v>
      </c>
      <c r="P63" s="2"/>
    </row>
    <row r="64" spans="1:16" ht="17.25" customHeight="1" x14ac:dyDescent="0.3">
      <c r="A64" s="2"/>
      <c r="B64" s="27" t="s">
        <v>14</v>
      </c>
      <c r="C64" s="57" t="s">
        <v>59</v>
      </c>
      <c r="D64" s="57" t="s">
        <v>59</v>
      </c>
      <c r="E64" s="57" t="s">
        <v>59</v>
      </c>
      <c r="F64" s="57" t="s">
        <v>59</v>
      </c>
      <c r="G64" s="57" t="s">
        <v>59</v>
      </c>
      <c r="H64" s="57" t="s">
        <v>59</v>
      </c>
      <c r="I64" s="57" t="s">
        <v>59</v>
      </c>
      <c r="J64" s="57" t="s">
        <v>59</v>
      </c>
      <c r="K64" s="57" t="s">
        <v>59</v>
      </c>
      <c r="L64" s="57" t="s">
        <v>59</v>
      </c>
      <c r="M64" s="52">
        <v>0</v>
      </c>
      <c r="N64" s="52">
        <v>0</v>
      </c>
      <c r="O64" s="47">
        <f t="shared" si="8"/>
        <v>0</v>
      </c>
      <c r="P64" s="2"/>
    </row>
    <row r="65" spans="1:16" ht="17.25" customHeight="1" x14ac:dyDescent="0.3">
      <c r="A65" s="2"/>
      <c r="B65" s="17"/>
      <c r="C65" s="49">
        <f t="shared" ref="C65:O65" si="9">SUM(C60:C64)</f>
        <v>0</v>
      </c>
      <c r="D65" s="49">
        <f t="shared" si="9"/>
        <v>0</v>
      </c>
      <c r="E65" s="49">
        <f t="shared" si="9"/>
        <v>0</v>
      </c>
      <c r="F65" s="49">
        <f t="shared" si="9"/>
        <v>0</v>
      </c>
      <c r="G65" s="49">
        <f t="shared" si="9"/>
        <v>0</v>
      </c>
      <c r="H65" s="49">
        <f t="shared" si="9"/>
        <v>0</v>
      </c>
      <c r="I65" s="49">
        <f t="shared" si="9"/>
        <v>0</v>
      </c>
      <c r="J65" s="49">
        <f t="shared" si="9"/>
        <v>0</v>
      </c>
      <c r="K65" s="49">
        <f t="shared" si="9"/>
        <v>0</v>
      </c>
      <c r="L65" s="49">
        <f t="shared" si="9"/>
        <v>0</v>
      </c>
      <c r="M65" s="49">
        <f t="shared" si="9"/>
        <v>0</v>
      </c>
      <c r="N65" s="49">
        <f t="shared" si="9"/>
        <v>29.1515</v>
      </c>
      <c r="O65" s="49">
        <f t="shared" si="9"/>
        <v>29.1515</v>
      </c>
      <c r="P65" s="2"/>
    </row>
    <row r="66" spans="1:16" ht="17.25" customHeight="1" x14ac:dyDescent="0.3">
      <c r="A66" s="2"/>
      <c r="B66" s="16" t="s">
        <v>45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44"/>
      <c r="P66" s="2"/>
    </row>
    <row r="67" spans="1:16" ht="17.25" customHeight="1" x14ac:dyDescent="0.3">
      <c r="A67" s="2"/>
      <c r="B67" s="27" t="s">
        <v>16</v>
      </c>
      <c r="C67" s="57" t="s">
        <v>59</v>
      </c>
      <c r="D67" s="57" t="s">
        <v>59</v>
      </c>
      <c r="E67" s="57" t="s">
        <v>59</v>
      </c>
      <c r="F67" s="57" t="s">
        <v>59</v>
      </c>
      <c r="G67" s="57" t="s">
        <v>59</v>
      </c>
      <c r="H67" s="57" t="s">
        <v>59</v>
      </c>
      <c r="I67" s="57" t="s">
        <v>59</v>
      </c>
      <c r="J67" s="57" t="s">
        <v>59</v>
      </c>
      <c r="K67" s="57" t="s">
        <v>59</v>
      </c>
      <c r="L67" s="57" t="s">
        <v>59</v>
      </c>
      <c r="M67" s="52">
        <v>0</v>
      </c>
      <c r="N67" s="52">
        <v>0</v>
      </c>
      <c r="O67" s="47">
        <f>SUM(C67:N67)</f>
        <v>0</v>
      </c>
      <c r="P67" s="2"/>
    </row>
    <row r="68" spans="1:16" ht="17.25" customHeight="1" x14ac:dyDescent="0.3">
      <c r="A68" s="2"/>
      <c r="B68" s="27" t="s">
        <v>51</v>
      </c>
      <c r="C68" s="57" t="s">
        <v>59</v>
      </c>
      <c r="D68" s="57" t="s">
        <v>59</v>
      </c>
      <c r="E68" s="57" t="s">
        <v>59</v>
      </c>
      <c r="F68" s="57" t="s">
        <v>59</v>
      </c>
      <c r="G68" s="57" t="s">
        <v>59</v>
      </c>
      <c r="H68" s="57" t="s">
        <v>59</v>
      </c>
      <c r="I68" s="57" t="s">
        <v>59</v>
      </c>
      <c r="J68" s="57" t="s">
        <v>59</v>
      </c>
      <c r="K68" s="57" t="s">
        <v>59</v>
      </c>
      <c r="L68" s="57" t="s">
        <v>59</v>
      </c>
      <c r="M68" s="52">
        <v>0</v>
      </c>
      <c r="N68" s="52">
        <v>0</v>
      </c>
      <c r="O68" s="47">
        <f>SUM(C68:N68)</f>
        <v>0</v>
      </c>
      <c r="P68" s="2"/>
    </row>
    <row r="69" spans="1:16" ht="17.25" customHeight="1" x14ac:dyDescent="0.3">
      <c r="A69" s="2"/>
      <c r="B69" s="27" t="s">
        <v>52</v>
      </c>
      <c r="C69" s="57" t="s">
        <v>59</v>
      </c>
      <c r="D69" s="57" t="s">
        <v>59</v>
      </c>
      <c r="E69" s="57" t="s">
        <v>59</v>
      </c>
      <c r="F69" s="57" t="s">
        <v>59</v>
      </c>
      <c r="G69" s="57" t="s">
        <v>59</v>
      </c>
      <c r="H69" s="57" t="s">
        <v>59</v>
      </c>
      <c r="I69" s="57" t="s">
        <v>59</v>
      </c>
      <c r="J69" s="57" t="s">
        <v>59</v>
      </c>
      <c r="K69" s="57" t="s">
        <v>59</v>
      </c>
      <c r="L69" s="57" t="s">
        <v>59</v>
      </c>
      <c r="M69" s="52">
        <f xml:space="preserve"> 124.91834199999998 +41.644999999999996</f>
        <v>166.56334199999998</v>
      </c>
      <c r="N69" s="52">
        <v>0</v>
      </c>
      <c r="O69" s="47">
        <f>SUM(C69:N69)</f>
        <v>166.56334199999998</v>
      </c>
      <c r="P69" s="2"/>
    </row>
    <row r="70" spans="1:16" ht="17.25" customHeight="1" x14ac:dyDescent="0.3">
      <c r="A70" s="2"/>
      <c r="B70" s="17"/>
      <c r="C70" s="49">
        <f t="shared" ref="C70:O70" si="10">SUM(C67:C69)</f>
        <v>0</v>
      </c>
      <c r="D70" s="49">
        <f t="shared" si="10"/>
        <v>0</v>
      </c>
      <c r="E70" s="49">
        <f t="shared" si="10"/>
        <v>0</v>
      </c>
      <c r="F70" s="49">
        <f t="shared" si="10"/>
        <v>0</v>
      </c>
      <c r="G70" s="49">
        <f t="shared" si="10"/>
        <v>0</v>
      </c>
      <c r="H70" s="49">
        <f t="shared" si="10"/>
        <v>0</v>
      </c>
      <c r="I70" s="49">
        <f t="shared" si="10"/>
        <v>0</v>
      </c>
      <c r="J70" s="49">
        <f t="shared" si="10"/>
        <v>0</v>
      </c>
      <c r="K70" s="49">
        <f t="shared" si="10"/>
        <v>0</v>
      </c>
      <c r="L70" s="49">
        <f t="shared" si="10"/>
        <v>0</v>
      </c>
      <c r="M70" s="49">
        <f t="shared" si="10"/>
        <v>166.56334199999998</v>
      </c>
      <c r="N70" s="49">
        <f t="shared" si="10"/>
        <v>0</v>
      </c>
      <c r="O70" s="49">
        <f t="shared" si="10"/>
        <v>166.56334199999998</v>
      </c>
      <c r="P70" s="2"/>
    </row>
    <row r="71" spans="1:16" ht="17.25" customHeight="1" x14ac:dyDescent="0.3">
      <c r="A71" s="2"/>
      <c r="B71" s="16" t="s">
        <v>50</v>
      </c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4"/>
      <c r="P71" s="2"/>
    </row>
    <row r="72" spans="1:16" ht="17.25" customHeight="1" x14ac:dyDescent="0.3">
      <c r="A72" s="2"/>
      <c r="B72" s="32" t="s">
        <v>46</v>
      </c>
      <c r="C72" s="57" t="s">
        <v>59</v>
      </c>
      <c r="D72" s="57" t="s">
        <v>59</v>
      </c>
      <c r="E72" s="57" t="s">
        <v>59</v>
      </c>
      <c r="F72" s="57" t="s">
        <v>59</v>
      </c>
      <c r="G72" s="57" t="s">
        <v>59</v>
      </c>
      <c r="H72" s="57" t="s">
        <v>59</v>
      </c>
      <c r="I72" s="57" t="s">
        <v>59</v>
      </c>
      <c r="J72" s="57" t="s">
        <v>59</v>
      </c>
      <c r="K72" s="57" t="s">
        <v>59</v>
      </c>
      <c r="L72" s="57" t="s">
        <v>59</v>
      </c>
      <c r="M72" s="52">
        <v>0</v>
      </c>
      <c r="N72" s="52">
        <f>6.41333+40.8121+(26.419587999999997+1.24935)+13.742849999999999</f>
        <v>88.637218</v>
      </c>
      <c r="O72" s="47">
        <f t="shared" ref="O72:O76" si="11">SUM(C72:N72)</f>
        <v>88.637218</v>
      </c>
      <c r="P72" s="2"/>
    </row>
    <row r="73" spans="1:16" ht="17.25" customHeight="1" x14ac:dyDescent="0.3">
      <c r="A73" s="2"/>
      <c r="B73" s="27" t="s">
        <v>47</v>
      </c>
      <c r="C73" s="57" t="s">
        <v>59</v>
      </c>
      <c r="D73" s="57" t="s">
        <v>59</v>
      </c>
      <c r="E73" s="57" t="s">
        <v>59</v>
      </c>
      <c r="F73" s="57" t="s">
        <v>59</v>
      </c>
      <c r="G73" s="57" t="s">
        <v>59</v>
      </c>
      <c r="H73" s="57" t="s">
        <v>59</v>
      </c>
      <c r="I73" s="57" t="s">
        <v>59</v>
      </c>
      <c r="J73" s="57" t="s">
        <v>59</v>
      </c>
      <c r="K73" s="57" t="s">
        <v>59</v>
      </c>
      <c r="L73" s="57" t="s">
        <v>59</v>
      </c>
      <c r="M73" s="52">
        <v>8.104117</v>
      </c>
      <c r="N73" s="52">
        <v>16.116615</v>
      </c>
      <c r="O73" s="47">
        <f t="shared" si="11"/>
        <v>24.220732</v>
      </c>
      <c r="P73" s="2"/>
    </row>
    <row r="74" spans="1:16" ht="17.25" customHeight="1" x14ac:dyDescent="0.3">
      <c r="A74" s="2"/>
      <c r="B74" s="27" t="s">
        <v>48</v>
      </c>
      <c r="C74" s="57" t="s">
        <v>59</v>
      </c>
      <c r="D74" s="57" t="s">
        <v>59</v>
      </c>
      <c r="E74" s="57" t="s">
        <v>59</v>
      </c>
      <c r="F74" s="57" t="s">
        <v>59</v>
      </c>
      <c r="G74" s="57" t="s">
        <v>59</v>
      </c>
      <c r="H74" s="57" t="s">
        <v>59</v>
      </c>
      <c r="I74" s="57" t="s">
        <v>59</v>
      </c>
      <c r="J74" s="57" t="s">
        <v>59</v>
      </c>
      <c r="K74" s="57" t="s">
        <v>59</v>
      </c>
      <c r="L74" s="57" t="s">
        <v>59</v>
      </c>
      <c r="M74" s="52">
        <v>0</v>
      </c>
      <c r="N74" s="52">
        <v>42.927665999999995</v>
      </c>
      <c r="O74" s="47">
        <f t="shared" si="11"/>
        <v>42.927665999999995</v>
      </c>
      <c r="P74" s="2"/>
    </row>
    <row r="75" spans="1:16" ht="17.25" customHeight="1" x14ac:dyDescent="0.3">
      <c r="A75" s="2"/>
      <c r="B75" s="27" t="s">
        <v>49</v>
      </c>
      <c r="C75" s="57" t="s">
        <v>59</v>
      </c>
      <c r="D75" s="57" t="s">
        <v>59</v>
      </c>
      <c r="E75" s="57" t="s">
        <v>59</v>
      </c>
      <c r="F75" s="57" t="s">
        <v>59</v>
      </c>
      <c r="G75" s="57" t="s">
        <v>59</v>
      </c>
      <c r="H75" s="57" t="s">
        <v>59</v>
      </c>
      <c r="I75" s="57" t="s">
        <v>59</v>
      </c>
      <c r="J75" s="57" t="s">
        <v>59</v>
      </c>
      <c r="K75" s="57" t="s">
        <v>59</v>
      </c>
      <c r="L75" s="57" t="s">
        <v>59</v>
      </c>
      <c r="M75" s="52">
        <v>0</v>
      </c>
      <c r="N75" s="52">
        <f>3.74805+3.989591</f>
        <v>7.737640999999999</v>
      </c>
      <c r="O75" s="47">
        <f t="shared" si="11"/>
        <v>7.737640999999999</v>
      </c>
      <c r="P75" s="2"/>
    </row>
    <row r="76" spans="1:16" ht="17.25" customHeight="1" x14ac:dyDescent="0.3">
      <c r="A76" s="2"/>
      <c r="B76" s="27" t="s">
        <v>68</v>
      </c>
      <c r="C76" s="57" t="s">
        <v>59</v>
      </c>
      <c r="D76" s="57" t="s">
        <v>59</v>
      </c>
      <c r="E76" s="57" t="s">
        <v>59</v>
      </c>
      <c r="F76" s="57" t="s">
        <v>59</v>
      </c>
      <c r="G76" s="57" t="s">
        <v>59</v>
      </c>
      <c r="H76" s="57" t="s">
        <v>59</v>
      </c>
      <c r="I76" s="57" t="s">
        <v>59</v>
      </c>
      <c r="J76" s="57" t="s">
        <v>59</v>
      </c>
      <c r="K76" s="57" t="s">
        <v>59</v>
      </c>
      <c r="L76" s="57" t="s">
        <v>59</v>
      </c>
      <c r="M76" s="52">
        <f>16.541394+99.314996</f>
        <v>115.85638999999999</v>
      </c>
      <c r="N76" s="52">
        <v>0</v>
      </c>
      <c r="O76" s="47">
        <f t="shared" si="11"/>
        <v>115.85638999999999</v>
      </c>
      <c r="P76" s="2"/>
    </row>
    <row r="77" spans="1:16" ht="17.25" customHeight="1" x14ac:dyDescent="0.3">
      <c r="A77" s="2"/>
      <c r="B77" s="17"/>
      <c r="C77" s="50">
        <f t="shared" ref="C77:O77" si="12">SUM(C72:C76)</f>
        <v>0</v>
      </c>
      <c r="D77" s="50">
        <f t="shared" si="12"/>
        <v>0</v>
      </c>
      <c r="E77" s="50">
        <f t="shared" si="12"/>
        <v>0</v>
      </c>
      <c r="F77" s="50">
        <f t="shared" si="12"/>
        <v>0</v>
      </c>
      <c r="G77" s="50">
        <f t="shared" si="12"/>
        <v>0</v>
      </c>
      <c r="H77" s="50">
        <f t="shared" si="12"/>
        <v>0</v>
      </c>
      <c r="I77" s="50">
        <f t="shared" si="12"/>
        <v>0</v>
      </c>
      <c r="J77" s="50">
        <f t="shared" si="12"/>
        <v>0</v>
      </c>
      <c r="K77" s="50">
        <f t="shared" si="12"/>
        <v>0</v>
      </c>
      <c r="L77" s="50">
        <f t="shared" si="12"/>
        <v>0</v>
      </c>
      <c r="M77" s="50">
        <f t="shared" si="12"/>
        <v>123.96050699999998</v>
      </c>
      <c r="N77" s="50">
        <f t="shared" si="12"/>
        <v>155.41914</v>
      </c>
      <c r="O77" s="50">
        <f t="shared" si="12"/>
        <v>279.379647</v>
      </c>
      <c r="P77" s="2"/>
    </row>
    <row r="78" spans="1:16" ht="17.25" customHeight="1" x14ac:dyDescent="0.3">
      <c r="A78" s="2"/>
      <c r="B78" s="16" t="s">
        <v>53</v>
      </c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4"/>
      <c r="P78" s="2"/>
    </row>
    <row r="79" spans="1:16" ht="17.25" customHeight="1" x14ac:dyDescent="0.3">
      <c r="A79" s="2"/>
      <c r="B79" s="27" t="s">
        <v>64</v>
      </c>
      <c r="C79" s="57" t="s">
        <v>59</v>
      </c>
      <c r="D79" s="57" t="s">
        <v>59</v>
      </c>
      <c r="E79" s="57" t="s">
        <v>59</v>
      </c>
      <c r="F79" s="57" t="s">
        <v>59</v>
      </c>
      <c r="G79" s="57" t="s">
        <v>59</v>
      </c>
      <c r="H79" s="57" t="s">
        <v>59</v>
      </c>
      <c r="I79" s="57" t="s">
        <v>59</v>
      </c>
      <c r="J79" s="57" t="s">
        <v>59</v>
      </c>
      <c r="K79" s="57" t="s">
        <v>59</v>
      </c>
      <c r="L79" s="57" t="s">
        <v>59</v>
      </c>
      <c r="M79" s="52">
        <f>22.4883 + 14.700684999999998+22.4883</f>
        <v>59.677285000000005</v>
      </c>
      <c r="N79" s="52">
        <v>22.4883</v>
      </c>
      <c r="O79" s="47">
        <f>SUM(C79:N79)</f>
        <v>82.16558500000001</v>
      </c>
      <c r="P79" s="2"/>
    </row>
    <row r="80" spans="1:16" ht="17.25" customHeight="1" x14ac:dyDescent="0.3">
      <c r="A80" s="2"/>
      <c r="B80" s="27" t="s">
        <v>54</v>
      </c>
      <c r="C80" s="57" t="s">
        <v>59</v>
      </c>
      <c r="D80" s="57" t="s">
        <v>59</v>
      </c>
      <c r="E80" s="57" t="s">
        <v>59</v>
      </c>
      <c r="F80" s="57" t="s">
        <v>59</v>
      </c>
      <c r="G80" s="57" t="s">
        <v>59</v>
      </c>
      <c r="H80" s="57" t="s">
        <v>59</v>
      </c>
      <c r="I80" s="57" t="s">
        <v>59</v>
      </c>
      <c r="J80" s="57" t="s">
        <v>59</v>
      </c>
      <c r="K80" s="57" t="s">
        <v>59</v>
      </c>
      <c r="L80" s="57" t="s">
        <v>59</v>
      </c>
      <c r="M80" s="52">
        <v>48.3082</v>
      </c>
      <c r="N80" s="52">
        <f>21.613754999999998+20.822499999999998+24.978671+44.710072+66.632</f>
        <v>178.756998</v>
      </c>
      <c r="O80" s="47">
        <f t="shared" ref="O80:O84" si="13">SUM(C80:N80)</f>
        <v>227.065198</v>
      </c>
      <c r="P80" s="2"/>
    </row>
    <row r="81" spans="1:18" ht="17.25" customHeight="1" x14ac:dyDescent="0.3">
      <c r="A81" s="2"/>
      <c r="B81" s="27" t="s">
        <v>66</v>
      </c>
      <c r="C81" s="57" t="s">
        <v>59</v>
      </c>
      <c r="D81" s="57" t="s">
        <v>59</v>
      </c>
      <c r="E81" s="57" t="s">
        <v>59</v>
      </c>
      <c r="F81" s="57" t="s">
        <v>59</v>
      </c>
      <c r="G81" s="57" t="s">
        <v>59</v>
      </c>
      <c r="H81" s="57" t="s">
        <v>59</v>
      </c>
      <c r="I81" s="57" t="s">
        <v>59</v>
      </c>
      <c r="J81" s="57" t="s">
        <v>59</v>
      </c>
      <c r="K81" s="57" t="s">
        <v>59</v>
      </c>
      <c r="L81" s="57" t="s">
        <v>59</v>
      </c>
      <c r="M81" s="52">
        <f>49.89071+6.6632</f>
        <v>56.55391</v>
      </c>
      <c r="N81" s="52">
        <v>6.6632</v>
      </c>
      <c r="O81" s="47">
        <f t="shared" si="13"/>
        <v>63.217110000000005</v>
      </c>
      <c r="P81" s="2"/>
    </row>
    <row r="82" spans="1:18" ht="17.25" customHeight="1" x14ac:dyDescent="0.3">
      <c r="A82" s="2"/>
      <c r="B82" s="27" t="s">
        <v>67</v>
      </c>
      <c r="C82" s="57" t="s">
        <v>59</v>
      </c>
      <c r="D82" s="57" t="s">
        <v>59</v>
      </c>
      <c r="E82" s="57" t="s">
        <v>59</v>
      </c>
      <c r="F82" s="57" t="s">
        <v>59</v>
      </c>
      <c r="G82" s="57" t="s">
        <v>59</v>
      </c>
      <c r="H82" s="57" t="s">
        <v>59</v>
      </c>
      <c r="I82" s="57" t="s">
        <v>59</v>
      </c>
      <c r="J82" s="57" t="s">
        <v>59</v>
      </c>
      <c r="K82" s="57" t="s">
        <v>59</v>
      </c>
      <c r="L82" s="57" t="s">
        <v>59</v>
      </c>
      <c r="M82" s="52">
        <v>83.28167099999999</v>
      </c>
      <c r="N82" s="52">
        <f>416.36670999999996+23.621043999999998+116.597671</f>
        <v>556.585425</v>
      </c>
      <c r="O82" s="47">
        <f t="shared" si="13"/>
        <v>639.867096</v>
      </c>
      <c r="P82" s="2"/>
    </row>
    <row r="83" spans="1:18" ht="17.25" customHeight="1" x14ac:dyDescent="0.3">
      <c r="A83" s="2"/>
      <c r="B83" s="27" t="s">
        <v>65</v>
      </c>
      <c r="C83" s="57" t="s">
        <v>59</v>
      </c>
      <c r="D83" s="57" t="s">
        <v>59</v>
      </c>
      <c r="E83" s="57" t="s">
        <v>59</v>
      </c>
      <c r="F83" s="57" t="s">
        <v>59</v>
      </c>
      <c r="G83" s="57" t="s">
        <v>59</v>
      </c>
      <c r="H83" s="57" t="s">
        <v>59</v>
      </c>
      <c r="I83" s="57" t="s">
        <v>59</v>
      </c>
      <c r="J83" s="57" t="s">
        <v>59</v>
      </c>
      <c r="K83" s="57" t="s">
        <v>59</v>
      </c>
      <c r="L83" s="57" t="s">
        <v>59</v>
      </c>
      <c r="M83" s="52">
        <f>16.841237999999997-8.57887+18.948475</f>
        <v>27.210843</v>
      </c>
      <c r="N83" s="52">
        <v>0</v>
      </c>
      <c r="O83" s="47">
        <f t="shared" si="13"/>
        <v>27.210843</v>
      </c>
      <c r="P83" s="2"/>
    </row>
    <row r="84" spans="1:18" ht="17.25" customHeight="1" x14ac:dyDescent="0.3">
      <c r="A84" s="2"/>
      <c r="B84" s="27" t="s">
        <v>14</v>
      </c>
      <c r="C84" s="57" t="s">
        <v>59</v>
      </c>
      <c r="D84" s="57" t="s">
        <v>59</v>
      </c>
      <c r="E84" s="57" t="s">
        <v>59</v>
      </c>
      <c r="F84" s="57" t="s">
        <v>59</v>
      </c>
      <c r="G84" s="57" t="s">
        <v>59</v>
      </c>
      <c r="H84" s="57" t="s">
        <v>59</v>
      </c>
      <c r="I84" s="57" t="s">
        <v>59</v>
      </c>
      <c r="J84" s="57" t="s">
        <v>59</v>
      </c>
      <c r="K84" s="57" t="s">
        <v>59</v>
      </c>
      <c r="L84" s="57" t="s">
        <v>59</v>
      </c>
      <c r="M84" s="52">
        <v>0</v>
      </c>
      <c r="N84" s="52">
        <v>0</v>
      </c>
      <c r="O84" s="47">
        <f t="shared" si="13"/>
        <v>0</v>
      </c>
      <c r="P84" s="2"/>
    </row>
    <row r="85" spans="1:18" ht="17.25" customHeight="1" x14ac:dyDescent="0.3">
      <c r="A85" s="2"/>
      <c r="B85" s="17"/>
      <c r="C85" s="50">
        <f t="shared" ref="C85:O85" si="14">SUM(C79:C84)</f>
        <v>0</v>
      </c>
      <c r="D85" s="50">
        <f t="shared" si="14"/>
        <v>0</v>
      </c>
      <c r="E85" s="50">
        <f t="shared" si="14"/>
        <v>0</v>
      </c>
      <c r="F85" s="50">
        <f t="shared" si="14"/>
        <v>0</v>
      </c>
      <c r="G85" s="50">
        <f t="shared" si="14"/>
        <v>0</v>
      </c>
      <c r="H85" s="50">
        <f t="shared" si="14"/>
        <v>0</v>
      </c>
      <c r="I85" s="50">
        <f t="shared" si="14"/>
        <v>0</v>
      </c>
      <c r="J85" s="50">
        <f t="shared" si="14"/>
        <v>0</v>
      </c>
      <c r="K85" s="50">
        <f t="shared" si="14"/>
        <v>0</v>
      </c>
      <c r="L85" s="50">
        <f t="shared" si="14"/>
        <v>0</v>
      </c>
      <c r="M85" s="50">
        <f t="shared" si="14"/>
        <v>275.03190900000004</v>
      </c>
      <c r="N85" s="50">
        <f t="shared" si="14"/>
        <v>764.493923</v>
      </c>
      <c r="O85" s="50">
        <f t="shared" si="14"/>
        <v>1039.5258319999998</v>
      </c>
      <c r="P85" s="2"/>
    </row>
    <row r="86" spans="1:18" ht="17.25" customHeight="1" x14ac:dyDescent="0.3">
      <c r="A86" s="2"/>
      <c r="B86" s="16" t="s">
        <v>14</v>
      </c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4"/>
      <c r="P86" s="2"/>
    </row>
    <row r="87" spans="1:18" ht="17.25" customHeight="1" x14ac:dyDescent="0.3">
      <c r="A87" s="2"/>
      <c r="B87" s="27" t="s">
        <v>56</v>
      </c>
      <c r="C87" s="57" t="s">
        <v>59</v>
      </c>
      <c r="D87" s="57" t="s">
        <v>59</v>
      </c>
      <c r="E87" s="57" t="s">
        <v>59</v>
      </c>
      <c r="F87" s="57" t="s">
        <v>59</v>
      </c>
      <c r="G87" s="57" t="s">
        <v>59</v>
      </c>
      <c r="H87" s="57" t="s">
        <v>59</v>
      </c>
      <c r="I87" s="57" t="s">
        <v>59</v>
      </c>
      <c r="J87" s="57" t="s">
        <v>59</v>
      </c>
      <c r="K87" s="57" t="s">
        <v>59</v>
      </c>
      <c r="L87" s="57" t="s">
        <v>59</v>
      </c>
      <c r="M87" s="52">
        <v>0</v>
      </c>
      <c r="N87" s="52">
        <v>0</v>
      </c>
      <c r="O87" s="47">
        <f t="shared" ref="O87:O89" si="15">SUM(C87:N87)</f>
        <v>0</v>
      </c>
      <c r="P87" s="2"/>
    </row>
    <row r="88" spans="1:18" ht="17.25" customHeight="1" x14ac:dyDescent="0.3">
      <c r="A88" s="2"/>
      <c r="B88" s="27" t="s">
        <v>55</v>
      </c>
      <c r="C88" s="57" t="s">
        <v>59</v>
      </c>
      <c r="D88" s="57" t="s">
        <v>59</v>
      </c>
      <c r="E88" s="57" t="s">
        <v>59</v>
      </c>
      <c r="F88" s="57" t="s">
        <v>59</v>
      </c>
      <c r="G88" s="57" t="s">
        <v>59</v>
      </c>
      <c r="H88" s="57" t="s">
        <v>59</v>
      </c>
      <c r="I88" s="57" t="s">
        <v>59</v>
      </c>
      <c r="J88" s="57" t="s">
        <v>59</v>
      </c>
      <c r="K88" s="57" t="s">
        <v>59</v>
      </c>
      <c r="L88" s="57" t="s">
        <v>59</v>
      </c>
      <c r="M88" s="52">
        <f>0.7662680000000001+0.8245709999999999</f>
        <v>1.5908390000000001</v>
      </c>
      <c r="N88" s="52">
        <v>0</v>
      </c>
      <c r="O88" s="47">
        <f t="shared" si="15"/>
        <v>1.5908390000000001</v>
      </c>
      <c r="P88" s="2"/>
    </row>
    <row r="89" spans="1:18" ht="17.25" customHeight="1" x14ac:dyDescent="0.3">
      <c r="A89" s="2"/>
      <c r="B89" s="27" t="s">
        <v>14</v>
      </c>
      <c r="C89" s="57" t="s">
        <v>59</v>
      </c>
      <c r="D89" s="57" t="s">
        <v>59</v>
      </c>
      <c r="E89" s="57" t="s">
        <v>59</v>
      </c>
      <c r="F89" s="57" t="s">
        <v>59</v>
      </c>
      <c r="G89" s="57" t="s">
        <v>59</v>
      </c>
      <c r="H89" s="57" t="s">
        <v>59</v>
      </c>
      <c r="I89" s="57" t="s">
        <v>59</v>
      </c>
      <c r="J89" s="57" t="s">
        <v>59</v>
      </c>
      <c r="K89" s="57" t="s">
        <v>59</v>
      </c>
      <c r="L89" s="57" t="s">
        <v>59</v>
      </c>
      <c r="M89" s="52">
        <v>0</v>
      </c>
      <c r="N89" s="52">
        <v>0</v>
      </c>
      <c r="O89" s="47">
        <f t="shared" si="15"/>
        <v>0</v>
      </c>
      <c r="P89" s="2"/>
      <c r="R89" s="59"/>
    </row>
    <row r="90" spans="1:18" ht="17.25" customHeight="1" x14ac:dyDescent="0.3">
      <c r="A90" s="2"/>
      <c r="B90" s="17"/>
      <c r="C90" s="50">
        <f>SUM(C87:C89)</f>
        <v>0</v>
      </c>
      <c r="D90" s="50">
        <f t="shared" ref="D90:N90" si="16">SUM(D87:D89)</f>
        <v>0</v>
      </c>
      <c r="E90" s="50">
        <f t="shared" si="16"/>
        <v>0</v>
      </c>
      <c r="F90" s="50">
        <f t="shared" si="16"/>
        <v>0</v>
      </c>
      <c r="G90" s="50">
        <f t="shared" si="16"/>
        <v>0</v>
      </c>
      <c r="H90" s="50">
        <f t="shared" si="16"/>
        <v>0</v>
      </c>
      <c r="I90" s="50">
        <f t="shared" si="16"/>
        <v>0</v>
      </c>
      <c r="J90" s="50">
        <f t="shared" si="16"/>
        <v>0</v>
      </c>
      <c r="K90" s="50">
        <f t="shared" si="16"/>
        <v>0</v>
      </c>
      <c r="L90" s="50">
        <f t="shared" si="16"/>
        <v>0</v>
      </c>
      <c r="M90" s="50">
        <f t="shared" si="16"/>
        <v>1.5908390000000001</v>
      </c>
      <c r="N90" s="50">
        <f t="shared" si="16"/>
        <v>0</v>
      </c>
      <c r="O90" s="50">
        <f>SUM(O87:O89)</f>
        <v>1.5908390000000001</v>
      </c>
      <c r="P90" s="2"/>
    </row>
    <row r="91" spans="1:18" ht="17.25" x14ac:dyDescent="0.3">
      <c r="A91" s="2"/>
      <c r="B91" s="35" t="s">
        <v>29</v>
      </c>
      <c r="C91" s="51">
        <f t="shared" ref="C91:N91" si="17">C90+C85+C77+C70+C65+C58+C50</f>
        <v>0</v>
      </c>
      <c r="D91" s="51">
        <f t="shared" si="17"/>
        <v>0</v>
      </c>
      <c r="E91" s="51">
        <f t="shared" si="17"/>
        <v>0</v>
      </c>
      <c r="F91" s="51">
        <f t="shared" si="17"/>
        <v>0</v>
      </c>
      <c r="G91" s="51">
        <f t="shared" si="17"/>
        <v>0</v>
      </c>
      <c r="H91" s="51">
        <f t="shared" si="17"/>
        <v>0</v>
      </c>
      <c r="I91" s="51">
        <f t="shared" si="17"/>
        <v>0</v>
      </c>
      <c r="J91" s="51">
        <f t="shared" si="17"/>
        <v>0</v>
      </c>
      <c r="K91" s="51">
        <f t="shared" si="17"/>
        <v>0</v>
      </c>
      <c r="L91" s="51">
        <f t="shared" si="17"/>
        <v>0</v>
      </c>
      <c r="M91" s="51">
        <f t="shared" si="17"/>
        <v>658.632333</v>
      </c>
      <c r="N91" s="51">
        <f t="shared" si="17"/>
        <v>1011.065639</v>
      </c>
      <c r="O91" s="51">
        <f>SUM(O85,O77,O70,O65,O58,O50,O90)</f>
        <v>1669.6979719999997</v>
      </c>
      <c r="P91" s="2"/>
    </row>
    <row r="92" spans="1:18" ht="17.25" x14ac:dyDescent="0.3">
      <c r="A92" s="2"/>
      <c r="B92" s="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2"/>
    </row>
  </sheetData>
  <mergeCells count="9">
    <mergeCell ref="F4:G4"/>
    <mergeCell ref="F5:G5"/>
    <mergeCell ref="F6:G6"/>
    <mergeCell ref="F3:I3"/>
    <mergeCell ref="F8:G8"/>
    <mergeCell ref="H8:I8"/>
    <mergeCell ref="H4:I4"/>
    <mergeCell ref="H5:I5"/>
    <mergeCell ref="H6:I6"/>
  </mergeCells>
  <phoneticPr fontId="6" type="noConversion"/>
  <pageMargins left="0.25" right="0.25" top="0.25" bottom="0.25" header="0" footer="0"/>
  <pageSetup scale="43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Personal Budget</vt:lpstr>
      <vt:lpstr>'Personal Budget'!Print_Area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MoneyMap fixture</dc:creator>
  <cp:lastModifiedBy>MoneyMap fixture</cp:lastModifiedBy>
  <cp:lastPrinted>2020-01-01T00:00:00Z</cp:lastPrinted>
  <dcterms:created xsi:type="dcterms:W3CDTF">2020-01-01T00:00:00Z</dcterms:created>
  <dcterms:modified xsi:type="dcterms:W3CDTF">2020-01-01T00:00:00Z</dcterms:modified>
</cp:coreProperties>
</file>